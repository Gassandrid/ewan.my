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gassandrid/VAULT/Notes/Biology/Labs/Lab 06/"/>
    </mc:Choice>
  </mc:AlternateContent>
  <xr:revisionPtr revIDLastSave="0" documentId="13_ncr:1_{CEC932D0-898E-2F40-9A33-C2B112F8BBD0}" xr6:coauthVersionLast="47" xr6:coauthVersionMax="47" xr10:uidLastSave="{00000000-0000-0000-0000-000000000000}"/>
  <bookViews>
    <workbookView xWindow="60" yWindow="740" windowWidth="34440" windowHeight="21540" activeTab="1" xr2:uid="{291CEAC0-ED52-8541-AEB9-1DDE90875A38}"/>
  </bookViews>
  <sheets>
    <sheet name="Chart1" sheetId="4" r:id="rId1"/>
    <sheet name="Part II Raw Data" sheetId="3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3" l="1"/>
  <c r="K23" i="3"/>
  <c r="E25" i="3"/>
  <c r="D8" i="3"/>
  <c r="I18" i="3"/>
  <c r="I17" i="3"/>
  <c r="I16" i="3"/>
  <c r="I15" i="3"/>
  <c r="D18" i="3"/>
  <c r="D17" i="3"/>
  <c r="D16" i="3"/>
  <c r="D15" i="3"/>
  <c r="I11" i="3"/>
  <c r="I10" i="3"/>
  <c r="I9" i="3"/>
  <c r="I8" i="3"/>
  <c r="D11" i="3"/>
  <c r="D10" i="3"/>
  <c r="D9" i="3"/>
</calcChain>
</file>

<file path=xl/sharedStrings.xml><?xml version="1.0" encoding="utf-8"?>
<sst xmlns="http://schemas.openxmlformats.org/spreadsheetml/2006/main" count="38" uniqueCount="16">
  <si>
    <t>Replicate A</t>
  </si>
  <si>
    <t>Replicate B</t>
  </si>
  <si>
    <t>Time (min.)</t>
  </si>
  <si>
    <t>Replicate C</t>
  </si>
  <si>
    <t>Replicate D</t>
  </si>
  <si>
    <t>Fermentation Assay - Raw Data Template</t>
  </si>
  <si>
    <t>Initial Weight (g)</t>
  </si>
  <si>
    <t>Final Weight (g)</t>
  </si>
  <si>
    <r>
      <t>Volume CO</t>
    </r>
    <r>
      <rPr>
        <b/>
        <vertAlign val="subscript"/>
        <sz val="12"/>
        <color theme="1"/>
        <rFont val="Aptos Narrow"/>
        <family val="2"/>
      </rPr>
      <t>2</t>
    </r>
    <r>
      <rPr>
        <b/>
        <sz val="12"/>
        <color theme="1"/>
        <rFont val="Aptos Narrow"/>
        <family val="2"/>
      </rPr>
      <t xml:space="preserve"> (mLs)</t>
    </r>
  </si>
  <si>
    <t>Fill in the tables below with the data you collected in lab (the values you wrote in the Part II Data Table in your handout).</t>
  </si>
  <si>
    <r>
      <t xml:space="preserve">Note that the tables are set up </t>
    </r>
    <r>
      <rPr>
        <i/>
        <sz val="12"/>
        <color theme="1"/>
        <rFont val="Aptos Narrow"/>
        <family val="2"/>
      </rPr>
      <t>differently</t>
    </r>
    <r>
      <rPr>
        <sz val="12"/>
        <color theme="1"/>
        <rFont val="Aptos Narrow"/>
        <family val="2"/>
      </rPr>
      <t xml:space="preserve"> from what's in your handout to separate the replicates and make the rest of the data analysis easier.</t>
    </r>
  </si>
  <si>
    <t>Volume of CO2</t>
  </si>
  <si>
    <t>CO2 Production Rate (mL/min)</t>
  </si>
  <si>
    <t>Trial</t>
  </si>
  <si>
    <t>Average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</si>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</sst>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u/>
      <sz val="12"/>
      <color theme="1"/>
      <name val="Aptos Narrow"/>
      <family val="2"/>
    </font>
    <font>
      <b/>
      <vertAlign val="subscript"/>
      <sz val="12"/>
      <color theme="1"/>
      <name val="Aptos Narrow"/>
      <family val="2"/>
    </font>
    <font>
      <i/>
      <sz val="12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1" xfId="0" applyFont="1" applyFill="1" applyBorder="1"/>
    <xf numFmtId="0" fontId="2" fillId="0" borderId="1" xfId="0" applyFont="1" applyBorder="1"/>
    <xf numFmtId="2" fontId="2" fillId="0" borderId="1" xfId="0" applyNumberFormat="1" applyFont="1" applyBorder="1"/>
    <xf numFmtId="0" fontId="2" fillId="3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E1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'Part II Raw Data'!$A$22</c:f>
              <c:strCache>
                <c:ptCount val="1"/>
                <c:pt idx="0">
                  <c:v>Replicate 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5.3928288293524887E-4"/>
                  <c:y val="6.866403564235643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Replicate A.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0.0163x</a:t>
                    </a:r>
                    <a:br>
                      <a:rPr lang="en-US" baseline="0"/>
                    </a:br>
                    <a:r>
                      <a:rPr lang="en-US" baseline="0"/>
                      <a:t>R² = 0.8414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'Part II Raw Data'!$B$21:$E$21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'Part II Raw Data'!$B$22:$E$22</c:f>
              <c:numCache>
                <c:formatCode>0.00</c:formatCode>
                <c:ptCount val="4"/>
                <c:pt idx="0">
                  <c:v>0.05</c:v>
                </c:pt>
                <c:pt idx="1">
                  <c:v>0.03</c:v>
                </c:pt>
                <c:pt idx="2" formatCode="General">
                  <c:v>0.38</c:v>
                </c:pt>
                <c:pt idx="3" formatCode="General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AE-574D-8219-D31B88BDE6D5}"/>
            </c:ext>
          </c:extLst>
        </c:ser>
        <c:ser>
          <c:idx val="1"/>
          <c:order val="1"/>
          <c:tx>
            <c:strRef>
              <c:f>'Part II Raw Data'!$A$23</c:f>
              <c:strCache>
                <c:ptCount val="1"/>
                <c:pt idx="0">
                  <c:v>Replicate 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1.0433324637454512E-2"/>
                  <c:y val="-3.1507184695741652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Replicate B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0.0185x</a:t>
                    </a:r>
                    <a:br>
                      <a:rPr lang="en-US" baseline="0"/>
                    </a:br>
                    <a:r>
                      <a:rPr lang="en-US" baseline="0"/>
                      <a:t>R² = 0.9263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solidFill>
                    <a:schemeClr val="accent2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'Part II Raw Data'!$B$21:$E$21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'Part II Raw Data'!$B$23:$E$23</c:f>
              <c:numCache>
                <c:formatCode>0.00</c:formatCode>
                <c:ptCount val="4"/>
                <c:pt idx="0">
                  <c:v>0.15</c:v>
                </c:pt>
                <c:pt idx="1">
                  <c:v>0.06</c:v>
                </c:pt>
                <c:pt idx="2" formatCode="General">
                  <c:v>0.3</c:v>
                </c:pt>
                <c:pt idx="3" formatCode="General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AE-574D-8219-D31B88BDE6D5}"/>
            </c:ext>
          </c:extLst>
        </c:ser>
        <c:ser>
          <c:idx val="2"/>
          <c:order val="2"/>
          <c:tx>
            <c:strRef>
              <c:f>'Part II Raw Data'!$A$24</c:f>
              <c:strCache>
                <c:ptCount val="1"/>
                <c:pt idx="0">
                  <c:v>Replicate 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4.1906524146517944E-2"/>
                  <c:y val="4.4363514340419654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Replicate C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0.0306x</a:t>
                    </a:r>
                    <a:br>
                      <a:rPr lang="en-US" baseline="0"/>
                    </a:br>
                    <a:r>
                      <a:rPr lang="en-US" baseline="0"/>
                      <a:t>R² = 0.839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solidFill>
                    <a:srgbClr val="92D05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'Part II Raw Data'!$B$21:$E$21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'Part II Raw Data'!$B$24:$E$24</c:f>
              <c:numCache>
                <c:formatCode>0.00</c:formatCode>
                <c:ptCount val="4"/>
                <c:pt idx="0">
                  <c:v>0.03</c:v>
                </c:pt>
                <c:pt idx="1">
                  <c:v>0.17</c:v>
                </c:pt>
                <c:pt idx="2" formatCode="General">
                  <c:v>0.26</c:v>
                </c:pt>
                <c:pt idx="3" formatCode="General">
                  <c:v>0.86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AE-574D-8219-D31B88BDE6D5}"/>
            </c:ext>
          </c:extLst>
        </c:ser>
        <c:ser>
          <c:idx val="3"/>
          <c:order val="3"/>
          <c:tx>
            <c:strRef>
              <c:f>'Part II Raw Data'!$A$25</c:f>
              <c:strCache>
                <c:ptCount val="1"/>
                <c:pt idx="0">
                  <c:v>Replicate 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2.3598815976520666E-3"/>
                  <c:y val="5.4507794059310111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Replicate D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0.0029x</a:t>
                    </a:r>
                    <a:br>
                      <a:rPr lang="en-US" baseline="0"/>
                    </a:br>
                    <a:r>
                      <a:rPr lang="en-US" baseline="0"/>
                      <a:t>R² = 0.0506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solidFill>
                    <a:srgbClr val="7030A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'Part II Raw Data'!$B$21:$E$21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'Part II Raw Data'!$B$25:$E$25</c:f>
              <c:numCache>
                <c:formatCode>0.00</c:formatCode>
                <c:ptCount val="4"/>
                <c:pt idx="0">
                  <c:v>0.1</c:v>
                </c:pt>
                <c:pt idx="1">
                  <c:v>0.1</c:v>
                </c:pt>
                <c:pt idx="2" formatCode="General">
                  <c:v>0.27</c:v>
                </c:pt>
                <c:pt idx="3" formatCode="General">
                  <c:v>-0.17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CAE-574D-8219-D31B88BDE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277040"/>
        <c:axId val="521608959"/>
      </c:scatterChart>
      <c:valAx>
        <c:axId val="192027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08959"/>
        <c:crosses val="autoZero"/>
        <c:crossBetween val="midCat"/>
      </c:valAx>
      <c:valAx>
        <c:axId val="52160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</a:t>
                </a:r>
              </a:p>
              <a:p>
                <a:pPr>
                  <a:defRPr/>
                </a:pPr>
                <a:r>
                  <a:rPr lang="en-US"/>
                  <a:t>Production (mLs)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277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852F38F-11C6-354B-9D11-523C3E9C900A}">
  <sheetPr/>
  <sheetViews>
    <sheetView zoomScale="118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0774" cy="628196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49A737-374B-AFC5-00C3-318A30ABCBB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8AA48-9B6B-4E98-8373-D2B5D70C4B6E}">
  <dimension ref="A1:L36"/>
  <sheetViews>
    <sheetView tabSelected="1" topLeftCell="D1" workbookViewId="0">
      <selection activeCell="K25" sqref="K25"/>
    </sheetView>
  </sheetViews>
  <sheetFormatPr baseColWidth="10" defaultColWidth="8.83203125" defaultRowHeight="20" customHeight="1" x14ac:dyDescent="0.2"/>
  <cols>
    <col min="1" max="1" width="10.6640625" style="2" customWidth="1"/>
    <col min="2" max="4" width="16.6640625" style="2" customWidth="1"/>
    <col min="5" max="5" width="16" style="2" customWidth="1"/>
    <col min="6" max="6" width="10.6640625" style="2" customWidth="1"/>
    <col min="7" max="7" width="16.6640625" style="2" customWidth="1"/>
    <col min="8" max="8" width="26.83203125" style="2" customWidth="1"/>
    <col min="9" max="9" width="16.6640625" style="2" customWidth="1"/>
    <col min="10" max="10" width="17.33203125" style="2" customWidth="1"/>
    <col min="11" max="11" width="26.6640625" style="2" customWidth="1"/>
    <col min="12" max="16384" width="8.83203125" style="2"/>
  </cols>
  <sheetData>
    <row r="1" spans="1:10" ht="20" customHeight="1" x14ac:dyDescent="0.2">
      <c r="A1" s="1" t="s">
        <v>5</v>
      </c>
    </row>
    <row r="2" spans="1:10" ht="20" customHeight="1" x14ac:dyDescent="0.2">
      <c r="A2" s="7" t="s">
        <v>9</v>
      </c>
      <c r="B2" s="7"/>
      <c r="C2" s="7"/>
      <c r="D2" s="7"/>
      <c r="E2" s="7"/>
      <c r="F2" s="7"/>
      <c r="G2" s="7"/>
      <c r="H2" s="7"/>
      <c r="I2" s="7"/>
    </row>
    <row r="3" spans="1:10" ht="20" customHeight="1" x14ac:dyDescent="0.2">
      <c r="A3" s="7" t="s">
        <v>10</v>
      </c>
      <c r="B3" s="7"/>
      <c r="C3" s="7"/>
      <c r="D3" s="7"/>
      <c r="E3" s="7"/>
      <c r="F3" s="7"/>
      <c r="G3" s="7"/>
      <c r="H3" s="7"/>
      <c r="I3" s="7"/>
    </row>
    <row r="6" spans="1:10" ht="20" customHeight="1" x14ac:dyDescent="0.2">
      <c r="A6" s="3" t="s">
        <v>0</v>
      </c>
      <c r="F6" s="3" t="s">
        <v>1</v>
      </c>
    </row>
    <row r="7" spans="1:10" ht="20" customHeight="1" x14ac:dyDescent="0.25">
      <c r="A7" s="4" t="s">
        <v>2</v>
      </c>
      <c r="B7" s="4" t="s">
        <v>6</v>
      </c>
      <c r="C7" s="4" t="s">
        <v>7</v>
      </c>
      <c r="D7" s="4" t="s">
        <v>8</v>
      </c>
      <c r="E7" s="1"/>
      <c r="F7" s="4" t="s">
        <v>2</v>
      </c>
      <c r="G7" s="4" t="s">
        <v>6</v>
      </c>
      <c r="H7" s="4" t="s">
        <v>7</v>
      </c>
      <c r="I7" s="4" t="s">
        <v>8</v>
      </c>
      <c r="J7" s="1"/>
    </row>
    <row r="8" spans="1:10" ht="20" customHeight="1" x14ac:dyDescent="0.2">
      <c r="A8" s="5">
        <v>5</v>
      </c>
      <c r="B8" s="5">
        <v>2.63</v>
      </c>
      <c r="C8" s="5">
        <v>2.58</v>
      </c>
      <c r="D8" s="5">
        <f>B8-C8</f>
        <v>4.9999999999999822E-2</v>
      </c>
      <c r="F8" s="5">
        <v>5</v>
      </c>
      <c r="G8" s="6">
        <v>2.57</v>
      </c>
      <c r="H8" s="6">
        <v>2.42</v>
      </c>
      <c r="I8" s="5">
        <f>G8-H8</f>
        <v>0.14999999999999991</v>
      </c>
    </row>
    <row r="9" spans="1:10" ht="20" customHeight="1" x14ac:dyDescent="0.2">
      <c r="A9" s="5">
        <v>10</v>
      </c>
      <c r="B9" s="5">
        <v>2.48</v>
      </c>
      <c r="C9" s="5">
        <v>2.4500000000000002</v>
      </c>
      <c r="D9" s="5">
        <f>B9-C9</f>
        <v>2.9999999999999805E-2</v>
      </c>
      <c r="F9" s="5">
        <v>10</v>
      </c>
      <c r="G9" s="6">
        <v>2.64</v>
      </c>
      <c r="H9" s="6">
        <v>2.58</v>
      </c>
      <c r="I9" s="5">
        <f>G9-H9</f>
        <v>6.0000000000000053E-2</v>
      </c>
    </row>
    <row r="10" spans="1:10" ht="20" customHeight="1" x14ac:dyDescent="0.2">
      <c r="A10" s="5">
        <v>15</v>
      </c>
      <c r="B10" s="5">
        <v>2.52</v>
      </c>
      <c r="C10" s="5">
        <v>2.14</v>
      </c>
      <c r="D10" s="5">
        <f>B10-C10</f>
        <v>0.37999999999999989</v>
      </c>
      <c r="F10" s="5">
        <v>15</v>
      </c>
      <c r="G10" s="6">
        <v>2.5099999999999998</v>
      </c>
      <c r="H10" s="6">
        <v>2.21</v>
      </c>
      <c r="I10" s="5">
        <f>G10-H10</f>
        <v>0.29999999999999982</v>
      </c>
    </row>
    <row r="11" spans="1:10" ht="20" customHeight="1" x14ac:dyDescent="0.2">
      <c r="A11" s="5">
        <v>20</v>
      </c>
      <c r="B11" s="5">
        <v>2.25</v>
      </c>
      <c r="C11" s="5">
        <v>1.95</v>
      </c>
      <c r="D11" s="5">
        <f>B11-C11</f>
        <v>0.30000000000000004</v>
      </c>
      <c r="F11" s="5">
        <v>20</v>
      </c>
      <c r="G11" s="6">
        <v>2.63</v>
      </c>
      <c r="H11" s="6">
        <v>2.23</v>
      </c>
      <c r="I11" s="5">
        <f>G11-H11</f>
        <v>0.39999999999999991</v>
      </c>
    </row>
    <row r="13" spans="1:10" ht="20" customHeight="1" x14ac:dyDescent="0.2">
      <c r="A13" s="3" t="s">
        <v>3</v>
      </c>
      <c r="F13" s="3" t="s">
        <v>4</v>
      </c>
    </row>
    <row r="14" spans="1:10" ht="20" customHeight="1" x14ac:dyDescent="0.25">
      <c r="A14" s="4" t="s">
        <v>2</v>
      </c>
      <c r="B14" s="4" t="s">
        <v>6</v>
      </c>
      <c r="C14" s="4" t="s">
        <v>7</v>
      </c>
      <c r="D14" s="4" t="s">
        <v>8</v>
      </c>
      <c r="E14" s="1"/>
      <c r="F14" s="4" t="s">
        <v>2</v>
      </c>
      <c r="G14" s="4" t="s">
        <v>6</v>
      </c>
      <c r="H14" s="4" t="s">
        <v>7</v>
      </c>
      <c r="I14" s="4" t="s">
        <v>8</v>
      </c>
      <c r="J14" s="1"/>
    </row>
    <row r="15" spans="1:10" ht="20" customHeight="1" x14ac:dyDescent="0.2">
      <c r="A15" s="5">
        <v>5</v>
      </c>
      <c r="B15" s="6">
        <v>2.59</v>
      </c>
      <c r="C15" s="6">
        <v>2.56</v>
      </c>
      <c r="D15" s="5">
        <f>B15-C15</f>
        <v>2.9999999999999805E-2</v>
      </c>
      <c r="F15" s="5">
        <v>5</v>
      </c>
      <c r="G15" s="6">
        <v>2.67</v>
      </c>
      <c r="H15" s="6">
        <v>2.57</v>
      </c>
      <c r="I15" s="5">
        <f>G15-H15</f>
        <v>0.10000000000000009</v>
      </c>
    </row>
    <row r="16" spans="1:10" ht="20" customHeight="1" x14ac:dyDescent="0.2">
      <c r="A16" s="5">
        <v>10</v>
      </c>
      <c r="B16" s="6">
        <v>2.4900000000000002</v>
      </c>
      <c r="C16" s="6">
        <v>2.3199999999999998</v>
      </c>
      <c r="D16" s="5">
        <f>B16-C16</f>
        <v>0.17000000000000037</v>
      </c>
      <c r="F16" s="5">
        <v>10</v>
      </c>
      <c r="G16" s="6">
        <v>2.58</v>
      </c>
      <c r="H16" s="6">
        <v>2.48</v>
      </c>
      <c r="I16" s="5">
        <f>G16-H16</f>
        <v>0.10000000000000009</v>
      </c>
    </row>
    <row r="17" spans="1:12" ht="20" customHeight="1" x14ac:dyDescent="0.2">
      <c r="A17" s="5">
        <v>15</v>
      </c>
      <c r="B17" s="6">
        <v>2.59</v>
      </c>
      <c r="C17" s="6">
        <v>2.33</v>
      </c>
      <c r="D17" s="5">
        <f>B17-C17</f>
        <v>0.25999999999999979</v>
      </c>
      <c r="F17" s="5">
        <v>15</v>
      </c>
      <c r="G17" s="6">
        <v>2.63</v>
      </c>
      <c r="H17" s="6">
        <v>2.36</v>
      </c>
      <c r="I17" s="5">
        <f>G17-H17</f>
        <v>0.27</v>
      </c>
    </row>
    <row r="18" spans="1:12" ht="20" customHeight="1" x14ac:dyDescent="0.2">
      <c r="A18" s="5">
        <v>20</v>
      </c>
      <c r="B18" s="6">
        <v>2.67</v>
      </c>
      <c r="C18" s="6">
        <v>1.81</v>
      </c>
      <c r="D18" s="5">
        <f>B18-C18</f>
        <v>0.85999999999999988</v>
      </c>
      <c r="F18" s="5">
        <v>20</v>
      </c>
      <c r="G18" s="6">
        <v>2.61</v>
      </c>
      <c r="H18" s="6">
        <v>1.89</v>
      </c>
      <c r="I18" s="5">
        <f>G18-H18</f>
        <v>0.72</v>
      </c>
    </row>
    <row r="20" spans="1:12" ht="20" customHeight="1" x14ac:dyDescent="0.2">
      <c r="A20" s="3" t="s">
        <v>11</v>
      </c>
      <c r="C20" s="4" t="s">
        <v>2</v>
      </c>
    </row>
    <row r="21" spans="1:12" ht="20" customHeight="1" x14ac:dyDescent="0.2">
      <c r="A21" s="4"/>
      <c r="B21" s="4">
        <v>5</v>
      </c>
      <c r="C21" s="4">
        <v>10</v>
      </c>
      <c r="D21" s="4">
        <v>15</v>
      </c>
      <c r="E21" s="4">
        <v>20</v>
      </c>
      <c r="G21" s="4" t="s">
        <v>13</v>
      </c>
      <c r="H21" s="4" t="s">
        <v>12</v>
      </c>
      <c r="J21" s="4"/>
      <c r="K21" s="4" t="s">
        <v>12</v>
      </c>
    </row>
    <row r="22" spans="1:12" ht="20" customHeight="1" x14ac:dyDescent="0.2">
      <c r="A22" s="3" t="s">
        <v>0</v>
      </c>
      <c r="B22" s="6">
        <v>0.05</v>
      </c>
      <c r="C22" s="6">
        <v>0.03</v>
      </c>
      <c r="D22" s="5">
        <v>0.38</v>
      </c>
      <c r="E22" s="5">
        <v>0.3</v>
      </c>
      <c r="G22" s="8" t="s">
        <v>0</v>
      </c>
      <c r="H22">
        <v>1.6299999999999999E-2</v>
      </c>
      <c r="J22" s="8" t="s">
        <v>14</v>
      </c>
      <c r="K22">
        <f>AVERAGE(H22:H25)</f>
        <v>1.7075E-2</v>
      </c>
    </row>
    <row r="23" spans="1:12" ht="20" customHeight="1" x14ac:dyDescent="0.2">
      <c r="A23" s="3" t="s">
        <v>1</v>
      </c>
      <c r="B23" s="6">
        <v>0.15</v>
      </c>
      <c r="C23" s="6">
        <v>0.06</v>
      </c>
      <c r="D23" s="5">
        <v>0.3</v>
      </c>
      <c r="E23" s="5">
        <v>0.4</v>
      </c>
      <c r="G23" s="8" t="s">
        <v>1</v>
      </c>
      <c r="H23">
        <v>1.8499999999999999E-2</v>
      </c>
      <c r="J23" s="8" t="s">
        <v>15</v>
      </c>
      <c r="K23">
        <f>_xlfn.STDEV.P(H22:H25)</f>
        <v>9.8296426689885291E-3</v>
      </c>
    </row>
    <row r="24" spans="1:12" ht="20" customHeight="1" x14ac:dyDescent="0.2">
      <c r="A24" s="3" t="s">
        <v>3</v>
      </c>
      <c r="B24" s="6">
        <v>0.03</v>
      </c>
      <c r="C24" s="6">
        <v>0.17</v>
      </c>
      <c r="D24" s="5">
        <v>0.26</v>
      </c>
      <c r="E24" s="5">
        <v>0.86</v>
      </c>
      <c r="G24" s="8" t="s">
        <v>3</v>
      </c>
      <c r="H24">
        <v>3.0599999999999999E-2</v>
      </c>
    </row>
    <row r="25" spans="1:12" ht="20" customHeight="1" x14ac:dyDescent="0.2">
      <c r="A25" s="3" t="s">
        <v>4</v>
      </c>
      <c r="B25" s="6">
        <v>0.1</v>
      </c>
      <c r="C25" s="6">
        <v>0.1</v>
      </c>
      <c r="D25" s="5">
        <v>0.27</v>
      </c>
      <c r="E25" s="5">
        <f>C25-D25</f>
        <v>-0.17</v>
      </c>
      <c r="G25" s="8" t="s">
        <v>4</v>
      </c>
      <c r="H25">
        <v>2.8999999999999998E-3</v>
      </c>
    </row>
    <row r="31" spans="1:12" ht="20" customHeight="1" x14ac:dyDescent="0.2">
      <c r="K31" s="4"/>
    </row>
    <row r="32" spans="1:12" ht="20" customHeight="1" x14ac:dyDescent="0.2">
      <c r="K32" s="3"/>
      <c r="L32" s="4"/>
    </row>
    <row r="33" spans="11:12" ht="20" customHeight="1" x14ac:dyDescent="0.2">
      <c r="K33" s="3"/>
      <c r="L33" s="6"/>
    </row>
    <row r="34" spans="11:12" ht="20" customHeight="1" x14ac:dyDescent="0.2">
      <c r="K34" s="3"/>
      <c r="L34" s="6"/>
    </row>
    <row r="35" spans="11:12" ht="20" customHeight="1" x14ac:dyDescent="0.2">
      <c r="K35" s="3"/>
      <c r="L35" s="6"/>
    </row>
    <row r="36" spans="11:12" ht="20" customHeight="1" x14ac:dyDescent="0.2">
      <c r="L36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Part II Raw Data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Ewan Pedersen</cp:lastModifiedBy>
  <cp:lastPrinted>2020-05-06T01:33:56Z</cp:lastPrinted>
  <dcterms:created xsi:type="dcterms:W3CDTF">2020-04-30T15:25:28Z</dcterms:created>
  <dcterms:modified xsi:type="dcterms:W3CDTF">2025-10-17T14:04:44Z</dcterms:modified>
</cp:coreProperties>
</file>