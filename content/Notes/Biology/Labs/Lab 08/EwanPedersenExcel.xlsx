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sandrid/VAULT/Notes/Biology/Labs/Lab 08/"/>
    </mc:Choice>
  </mc:AlternateContent>
  <xr:revisionPtr revIDLastSave="0" documentId="13_ncr:1_{57F62466-1E3E-4D4F-83F9-B5D31ABC6F58}" xr6:coauthVersionLast="47" xr6:coauthVersionMax="47" xr10:uidLastSave="{00000000-0000-0000-0000-000000000000}"/>
  <bookViews>
    <workbookView xWindow="60" yWindow="740" windowWidth="17160" windowHeight="10700" xr2:uid="{39373B4B-9FE8-DF4C-855D-F55AA86CD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J9" i="1"/>
  <c r="I9" i="1"/>
  <c r="H9" i="1"/>
  <c r="G9" i="1"/>
  <c r="E9" i="1"/>
  <c r="D9" i="1"/>
  <c r="C9" i="1"/>
  <c r="B9" i="1"/>
  <c r="J8" i="1"/>
  <c r="I8" i="1"/>
  <c r="H8" i="1"/>
  <c r="G8" i="1"/>
  <c r="E8" i="1"/>
  <c r="D8" i="1"/>
  <c r="C8" i="1"/>
  <c r="B8" i="1"/>
  <c r="J7" i="1"/>
  <c r="J6" i="1"/>
  <c r="J5" i="1"/>
  <c r="J4" i="1"/>
  <c r="J3" i="1"/>
  <c r="E7" i="1"/>
  <c r="E6" i="1"/>
  <c r="E5" i="1"/>
  <c r="E4" i="1"/>
  <c r="E3" i="1"/>
  <c r="I7" i="1"/>
  <c r="I6" i="1"/>
  <c r="I5" i="1"/>
  <c r="I4" i="1"/>
  <c r="I3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<sst xmlns="http://schemas.openxmlformats.org/spreadsheetml/2006/main" count="25" uniqueCount="14">
  <si>
    <t># Mitotic Cells</t>
  </si>
  <si>
    <t># Interphase Cells</t>
  </si>
  <si>
    <t>Total # Cells</t>
  </si>
  <si>
    <t>Mitotic Index</t>
  </si>
  <si>
    <t>CONTROL</t>
  </si>
  <si>
    <t>TREATMENT</t>
  </si>
  <si>
    <t>Photo 1</t>
  </si>
  <si>
    <t>Photo 2</t>
  </si>
  <si>
    <t>Photo 3</t>
  </si>
  <si>
    <t>Photo 4</t>
  </si>
  <si>
    <t>Photo 5</t>
  </si>
  <si>
    <t>Average</t>
  </si>
  <si>
    <t>SD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</si>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</sst>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E085-A38A-E14E-A37F-824F0BA95872}">
  <dimension ref="A1:K17"/>
  <sheetViews>
    <sheetView tabSelected="1" workbookViewId="0">
      <selection activeCell="A13" sqref="A13"/>
    </sheetView>
  </sheetViews>
  <sheetFormatPr baseColWidth="10" defaultRowHeight="16" x14ac:dyDescent="0.2"/>
  <cols>
    <col min="2" max="2" width="13.5" customWidth="1"/>
    <col min="3" max="3" width="16" customWidth="1"/>
    <col min="4" max="5" width="12.1640625" customWidth="1"/>
    <col min="6" max="6" width="11.33203125" customWidth="1"/>
    <col min="7" max="7" width="14.1640625" customWidth="1"/>
    <col min="8" max="8" width="15.83203125" customWidth="1"/>
    <col min="9" max="9" width="12" customWidth="1"/>
    <col min="10" max="10" width="12.33203125" customWidth="1"/>
  </cols>
  <sheetData>
    <row r="1" spans="1:11" ht="17" thickBot="1" x14ac:dyDescent="0.25">
      <c r="A1" t="s">
        <v>4</v>
      </c>
      <c r="F1" t="s">
        <v>5</v>
      </c>
    </row>
    <row r="2" spans="1:11" ht="18" thickTop="1" thickBot="1" x14ac:dyDescent="0.25">
      <c r="B2" s="5" t="s">
        <v>0</v>
      </c>
      <c r="C2" s="5" t="s">
        <v>1</v>
      </c>
      <c r="D2" s="5" t="s">
        <v>2</v>
      </c>
      <c r="E2" s="5" t="s">
        <v>3</v>
      </c>
      <c r="G2" s="5" t="s">
        <v>0</v>
      </c>
      <c r="H2" s="5" t="s">
        <v>1</v>
      </c>
      <c r="I2" s="5" t="s">
        <v>2</v>
      </c>
      <c r="J2" s="5" t="s">
        <v>3</v>
      </c>
    </row>
    <row r="3" spans="1:11" ht="18" thickTop="1" thickBot="1" x14ac:dyDescent="0.25">
      <c r="A3" s="2" t="s">
        <v>6</v>
      </c>
      <c r="B3" s="4">
        <v>2</v>
      </c>
      <c r="C3" s="4">
        <v>79</v>
      </c>
      <c r="D3" s="5">
        <f>SUM(B3:C3)</f>
        <v>81</v>
      </c>
      <c r="E3" s="5">
        <f>B3/D3</f>
        <v>2.4691358024691357E-2</v>
      </c>
      <c r="F3" s="2" t="s">
        <v>6</v>
      </c>
      <c r="G3" s="4">
        <v>9</v>
      </c>
      <c r="H3" s="4">
        <v>98</v>
      </c>
      <c r="I3" s="5">
        <f>SUM(G3:H3)</f>
        <v>107</v>
      </c>
      <c r="J3" s="5">
        <f>G3/I3</f>
        <v>8.4112149532710276E-2</v>
      </c>
    </row>
    <row r="4" spans="1:11" ht="18" thickTop="1" thickBot="1" x14ac:dyDescent="0.25">
      <c r="A4" s="2" t="s">
        <v>7</v>
      </c>
      <c r="B4" s="4">
        <v>6</v>
      </c>
      <c r="C4" s="4">
        <v>86</v>
      </c>
      <c r="D4" s="5">
        <f>SUM(B4:C4)</f>
        <v>92</v>
      </c>
      <c r="E4" s="5">
        <f>B4/D4</f>
        <v>6.5217391304347824E-2</v>
      </c>
      <c r="F4" s="2" t="s">
        <v>7</v>
      </c>
      <c r="G4" s="4">
        <v>3</v>
      </c>
      <c r="H4" s="4">
        <v>52</v>
      </c>
      <c r="I4" s="5">
        <f>SUM(G4:H4)</f>
        <v>55</v>
      </c>
      <c r="J4" s="5">
        <f>G4/I4</f>
        <v>5.4545454545454543E-2</v>
      </c>
    </row>
    <row r="5" spans="1:11" ht="18" thickTop="1" thickBot="1" x14ac:dyDescent="0.25">
      <c r="A5" s="2" t="s">
        <v>8</v>
      </c>
      <c r="B5" s="4">
        <v>1</v>
      </c>
      <c r="C5" s="4">
        <v>77</v>
      </c>
      <c r="D5" s="5">
        <f>SUM(B5:C5)</f>
        <v>78</v>
      </c>
      <c r="E5" s="5">
        <f>B5/D5</f>
        <v>1.282051282051282E-2</v>
      </c>
      <c r="F5" s="2" t="s">
        <v>8</v>
      </c>
      <c r="G5" s="4">
        <v>6</v>
      </c>
      <c r="H5" s="4">
        <v>106</v>
      </c>
      <c r="I5" s="5">
        <f>SUM(G5:H5)</f>
        <v>112</v>
      </c>
      <c r="J5" s="5">
        <f>G5/I5</f>
        <v>5.3571428571428568E-2</v>
      </c>
    </row>
    <row r="6" spans="1:11" ht="18" thickTop="1" thickBot="1" x14ac:dyDescent="0.25">
      <c r="A6" s="2" t="s">
        <v>9</v>
      </c>
      <c r="B6" s="4">
        <v>2</v>
      </c>
      <c r="C6" s="4">
        <v>66</v>
      </c>
      <c r="D6" s="5">
        <f>SUM(B6:C6)</f>
        <v>68</v>
      </c>
      <c r="E6" s="5">
        <f>B6/D6</f>
        <v>2.9411764705882353E-2</v>
      </c>
      <c r="F6" s="2" t="s">
        <v>9</v>
      </c>
      <c r="G6" s="4">
        <v>4</v>
      </c>
      <c r="H6" s="4">
        <v>76</v>
      </c>
      <c r="I6" s="5">
        <f>SUM(G6:H6)</f>
        <v>80</v>
      </c>
      <c r="J6" s="5">
        <f>G6/I6</f>
        <v>0.05</v>
      </c>
    </row>
    <row r="7" spans="1:11" ht="18" thickTop="1" thickBot="1" x14ac:dyDescent="0.25">
      <c r="A7" s="2" t="s">
        <v>10</v>
      </c>
      <c r="B7" s="4">
        <v>2</v>
      </c>
      <c r="C7" s="4">
        <v>79</v>
      </c>
      <c r="D7" s="5">
        <f>SUM(B7:C7)</f>
        <v>81</v>
      </c>
      <c r="E7" s="5">
        <f>B7/D7</f>
        <v>2.4691358024691357E-2</v>
      </c>
      <c r="F7" s="2" t="s">
        <v>10</v>
      </c>
      <c r="G7" s="4">
        <v>3</v>
      </c>
      <c r="H7" s="4">
        <v>99</v>
      </c>
      <c r="I7" s="5">
        <f>SUM(G7:H7)</f>
        <v>102</v>
      </c>
      <c r="J7" s="5">
        <f>G7/I7</f>
        <v>2.9411764705882353E-2</v>
      </c>
    </row>
    <row r="8" spans="1:11" ht="17" thickTop="1" x14ac:dyDescent="0.2">
      <c r="A8" s="2" t="s">
        <v>11</v>
      </c>
      <c r="B8">
        <f>AVERAGE(B3:B7)</f>
        <v>2.6</v>
      </c>
      <c r="C8">
        <f>AVERAGE(C3:C7)</f>
        <v>77.400000000000006</v>
      </c>
      <c r="D8">
        <f>AVERAGE(D3:D7)</f>
        <v>80</v>
      </c>
      <c r="E8">
        <f>AVERAGE(E3:E7)</f>
        <v>3.136647697602514E-2</v>
      </c>
      <c r="F8" s="2" t="s">
        <v>11</v>
      </c>
      <c r="G8">
        <f>AVERAGE(G3:G7)</f>
        <v>5</v>
      </c>
      <c r="H8">
        <f>AVERAGE(H3:H7)</f>
        <v>86.2</v>
      </c>
      <c r="I8">
        <f>AVERAGE(I3:I7)</f>
        <v>91.2</v>
      </c>
      <c r="J8">
        <f>AVERAGE(J3:J7)</f>
        <v>5.432815947109515E-2</v>
      </c>
    </row>
    <row r="9" spans="1:11" x14ac:dyDescent="0.2">
      <c r="A9" s="6" t="s">
        <v>12</v>
      </c>
      <c r="B9">
        <f>_xlfn.STDEV.P(B3:B7)</f>
        <v>1.7435595774162693</v>
      </c>
      <c r="C9">
        <f>_xlfn.STDEV.P(C3:C7)</f>
        <v>6.468384651518492</v>
      </c>
      <c r="D9">
        <f>_xlfn.STDEV.P(D3:D7)</f>
        <v>7.6681158050723255</v>
      </c>
      <c r="E9">
        <f>_xlfn.STDEV.P(E3:E7)</f>
        <v>1.7791978605028441E-2</v>
      </c>
      <c r="F9" s="6" t="s">
        <v>12</v>
      </c>
      <c r="G9">
        <f>_xlfn.STDEV.P(G3:G7)</f>
        <v>2.2803508501982761</v>
      </c>
      <c r="H9">
        <f>_xlfn.STDEV.P(H3:H7)</f>
        <v>19.84338680769994</v>
      </c>
      <c r="I9">
        <f>_xlfn.STDEV.P(I3:I7)</f>
        <v>21.141428523162762</v>
      </c>
      <c r="J9">
        <f>_xlfn.STDEV.P(J3:J7)</f>
        <v>1.7477217257317559E-2</v>
      </c>
    </row>
    <row r="12" spans="1:11" x14ac:dyDescent="0.2">
      <c r="A12" s="1" t="s">
        <v>13</v>
      </c>
      <c r="B12" s="1">
        <f>_xlfn.T.TEST(E3:E7,J3:J7,1,3)</f>
        <v>5.1422216042677819E-2</v>
      </c>
      <c r="C12" s="1"/>
      <c r="D12" s="1"/>
      <c r="E12" s="1"/>
      <c r="G12" s="1"/>
      <c r="H12" s="1"/>
      <c r="I12" s="1"/>
      <c r="J12" s="1"/>
      <c r="K12" s="1"/>
    </row>
    <row r="13" spans="1:11" x14ac:dyDescent="0.2">
      <c r="A13" s="2"/>
      <c r="B13" s="2"/>
      <c r="C13" s="2"/>
      <c r="D13" s="2"/>
      <c r="E13" s="3"/>
      <c r="G13" s="2"/>
      <c r="H13" s="2"/>
      <c r="I13" s="2"/>
      <c r="J13" s="2"/>
      <c r="K13" s="3"/>
    </row>
    <row r="14" spans="1:11" x14ac:dyDescent="0.2">
      <c r="A14" s="2"/>
      <c r="B14" s="2"/>
      <c r="C14" s="2"/>
      <c r="D14" s="2"/>
      <c r="E14" s="3"/>
      <c r="G14" s="2"/>
      <c r="H14" s="2"/>
      <c r="I14" s="2"/>
      <c r="J14" s="2"/>
      <c r="K14" s="3"/>
    </row>
    <row r="15" spans="1:11" x14ac:dyDescent="0.2">
      <c r="A15" s="2"/>
      <c r="B15" s="2"/>
      <c r="C15" s="2"/>
      <c r="D15" s="2"/>
      <c r="E15" s="3"/>
      <c r="G15" s="2"/>
      <c r="H15" s="2"/>
      <c r="I15" s="2"/>
      <c r="J15" s="2"/>
      <c r="K15" s="3"/>
    </row>
    <row r="16" spans="1:11" x14ac:dyDescent="0.2">
      <c r="A16" s="2"/>
      <c r="B16" s="2"/>
      <c r="C16" s="2"/>
      <c r="D16" s="2"/>
      <c r="E16" s="3"/>
      <c r="G16" s="2"/>
      <c r="H16" s="2"/>
      <c r="I16" s="2"/>
      <c r="J16" s="2"/>
      <c r="K16" s="3"/>
    </row>
    <row r="17" spans="1:11" x14ac:dyDescent="0.2">
      <c r="A17" s="2"/>
      <c r="B17" s="2"/>
      <c r="C17" s="2"/>
      <c r="D17" s="2"/>
      <c r="E17" s="3"/>
      <c r="G17" s="2"/>
      <c r="H17" s="2"/>
      <c r="I17" s="2"/>
      <c r="J17" s="2"/>
      <c r="K17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Pedersen</dc:creator>
  <cp:lastModifiedBy>Ewan Pedersen</cp:lastModifiedBy>
  <dcterms:created xsi:type="dcterms:W3CDTF">2025-11-06T19:32:51Z</dcterms:created>
  <dcterms:modified xsi:type="dcterms:W3CDTF">2025-11-07T12:39:52Z</dcterms:modified>
</cp:coreProperties>
</file>