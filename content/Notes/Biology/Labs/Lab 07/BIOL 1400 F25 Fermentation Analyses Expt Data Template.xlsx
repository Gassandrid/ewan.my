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chartsheets/sheet3.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gassandrid/VAULT/Notes/Biology/Labs/Lab 06/Lab 07/"/>
    </mc:Choice>
  </mc:AlternateContent>
  <xr:revisionPtr revIDLastSave="0" documentId="13_ncr:1_{972F44EB-6764-A046-BA48-75232BF58AE6}" xr6:coauthVersionLast="47" xr6:coauthVersionMax="47" xr10:uidLastSave="{00000000-0000-0000-0000-000000000000}"/>
  <bookViews>
    <workbookView xWindow="60" yWindow="740" windowWidth="34440" windowHeight="21540" activeTab="4" xr2:uid="{00000000-000D-0000-FFFF-FFFF00000000}"/>
  </bookViews>
  <sheets>
    <sheet name="Chart1" sheetId="3" r:id="rId1"/>
    <sheet name="Chart2" sheetId="4" r:id="rId2"/>
    <sheet name="Raw Data" sheetId="1" r:id="rId3"/>
    <sheet name="Chart3" sheetId="5" r:id="rId4"/>
    <sheet name="Averages and T-Tests" sheetId="2" r:id="rId5"/>
  </sheets>
  <definedNames>
    <definedName name="_xlchart.v2.0" hidden="1">'Averages and T-Tests'!$F$10:$F$12</definedName>
    <definedName name="_xlchart.v2.1" hidden="1">'Averages and T-Tests'!$G$10:$G$12</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2" l="1"/>
  <c r="C12" i="2"/>
  <c r="B11" i="2"/>
  <c r="B10" i="2"/>
  <c r="C11" i="2"/>
  <c r="C10" i="2"/>
  <c r="D11" i="2"/>
  <c r="D10" i="2"/>
  <c r="I36" i="1"/>
  <c r="I35" i="1"/>
  <c r="I34" i="1"/>
  <c r="I33" i="1"/>
  <c r="D36" i="1"/>
  <c r="D35" i="1"/>
  <c r="D34" i="1"/>
  <c r="D33" i="1"/>
  <c r="I29" i="1"/>
  <c r="I28" i="1"/>
  <c r="I27" i="1"/>
  <c r="I26" i="1"/>
  <c r="D29" i="1"/>
  <c r="D28" i="1"/>
  <c r="D27" i="1"/>
  <c r="D26" i="1"/>
  <c r="D10" i="1"/>
  <c r="H19" i="1"/>
  <c r="I20" i="1"/>
  <c r="I19" i="1"/>
  <c r="I18" i="1"/>
  <c r="I17" i="1"/>
  <c r="I13" i="1"/>
  <c r="I12" i="1"/>
  <c r="I11" i="1"/>
  <c r="I10" i="1"/>
  <c r="D20" i="1"/>
  <c r="D19" i="1"/>
  <c r="D18" i="1"/>
  <c r="D17" i="1"/>
  <c r="D13" i="1"/>
  <c r="D12" i="1"/>
  <c r="D11" i="1"/>
</calcChain>
</file>

<file path=xl/sharedStrings.xml><?xml version="1.0" encoding="utf-8"?>
<sst xmlns="http://schemas.openxmlformats.org/spreadsheetml/2006/main" count="82" uniqueCount="33">
  <si>
    <t>Replicate A</t>
  </si>
  <si>
    <t>Replicate B</t>
  </si>
  <si>
    <t>Time (min.)</t>
  </si>
  <si>
    <t>Replicate C</t>
  </si>
  <si>
    <t>Replicate D</t>
  </si>
  <si>
    <t>Average</t>
  </si>
  <si>
    <t>SD</t>
  </si>
  <si>
    <t>t-test p-value</t>
  </si>
  <si>
    <t>Control Condition</t>
  </si>
  <si>
    <t xml:space="preserve">Condition #1: </t>
  </si>
  <si>
    <t xml:space="preserve">Condition #2: </t>
  </si>
  <si>
    <t>Condition #1</t>
  </si>
  <si>
    <t>Time (minutes)</t>
  </si>
  <si>
    <t>Condition #2</t>
  </si>
  <si>
    <t>Fermentation Analyses - Experiment Data</t>
  </si>
  <si>
    <r>
      <t>Step 2</t>
    </r>
    <r>
      <rPr>
        <sz val="14"/>
        <color theme="1"/>
        <rFont val="Aptos Narrow"/>
        <family val="2"/>
      </rPr>
      <t>: Change the "Condition" labels to what you're testing.</t>
    </r>
    <r>
      <rPr>
        <b/>
        <sz val="14"/>
        <color theme="1"/>
        <rFont val="Aptos Narrow"/>
        <family val="2"/>
      </rPr>
      <t xml:space="preserve"> </t>
    </r>
    <r>
      <rPr>
        <sz val="14"/>
        <color theme="1"/>
        <rFont val="Aptos Narrow"/>
        <family val="2"/>
      </rPr>
      <t>Enter the volumes of CO</t>
    </r>
    <r>
      <rPr>
        <vertAlign val="subscript"/>
        <sz val="14"/>
        <color theme="1"/>
        <rFont val="Aptos Narrow"/>
        <family val="2"/>
      </rPr>
      <t>2</t>
    </r>
    <r>
      <rPr>
        <sz val="14"/>
        <color theme="1"/>
        <rFont val="Aptos Narrow"/>
        <family val="2"/>
      </rPr>
      <t xml:space="preserve"> you just calculated in the tables below.  As with the Part I data analysis, </t>
    </r>
    <r>
      <rPr>
        <u/>
        <sz val="14"/>
        <color theme="1"/>
        <rFont val="Aptos Narrow"/>
        <family val="2"/>
      </rPr>
      <t>enter zero</t>
    </r>
    <r>
      <rPr>
        <sz val="14"/>
        <color theme="1"/>
        <rFont val="Aptos Narrow"/>
        <family val="2"/>
      </rPr>
      <t xml:space="preserve"> if you have a </t>
    </r>
    <r>
      <rPr>
        <u/>
        <sz val="14"/>
        <color theme="1"/>
        <rFont val="Aptos Narrow"/>
        <family val="2"/>
      </rPr>
      <t>negative number</t>
    </r>
    <r>
      <rPr>
        <sz val="14"/>
        <color theme="1"/>
        <rFont val="Aptos Narrow"/>
        <family val="2"/>
      </rPr>
      <t xml:space="preserve">.  Use your data to make </t>
    </r>
    <r>
      <rPr>
        <u/>
        <sz val="14"/>
        <color theme="1"/>
        <rFont val="Aptos Narrow"/>
        <family val="2"/>
      </rPr>
      <t>TWO scatter plots</t>
    </r>
    <r>
      <rPr>
        <sz val="14"/>
        <color theme="1"/>
        <rFont val="Aptos Narrow"/>
        <family val="2"/>
      </rPr>
      <t xml:space="preserve"> - one for each condition - to determine the </t>
    </r>
    <r>
      <rPr>
        <u/>
        <sz val="14"/>
        <color theme="1"/>
        <rFont val="Aptos Narrow"/>
        <family val="2"/>
      </rPr>
      <t>rate of CO</t>
    </r>
    <r>
      <rPr>
        <u/>
        <vertAlign val="subscript"/>
        <sz val="14"/>
        <color theme="1"/>
        <rFont val="Aptos Narrow"/>
        <family val="2"/>
      </rPr>
      <t>2</t>
    </r>
    <r>
      <rPr>
        <u/>
        <sz val="14"/>
        <color theme="1"/>
        <rFont val="Aptos Narrow"/>
        <family val="2"/>
      </rPr>
      <t xml:space="preserve"> production for each replicate</t>
    </r>
    <r>
      <rPr>
        <sz val="14"/>
        <color theme="1"/>
        <rFont val="Aptos Narrow"/>
        <family val="2"/>
      </rPr>
      <t xml:space="preserve"> (FOUR lines total with equations and R-squared values on each of your two graphs!).</t>
    </r>
  </si>
  <si>
    <r>
      <t>Volume of CO</t>
    </r>
    <r>
      <rPr>
        <u/>
        <vertAlign val="subscript"/>
        <sz val="12"/>
        <color theme="1"/>
        <rFont val="Aptos Narrow"/>
        <family val="2"/>
      </rPr>
      <t>2</t>
    </r>
    <r>
      <rPr>
        <u/>
        <sz val="12"/>
        <color theme="1"/>
        <rFont val="Aptos Narrow"/>
        <family val="2"/>
      </rPr>
      <t xml:space="preserve"> (mLs)</t>
    </r>
  </si>
  <si>
    <r>
      <t>Volume CO</t>
    </r>
    <r>
      <rPr>
        <b/>
        <vertAlign val="subscript"/>
        <sz val="12"/>
        <color theme="1"/>
        <rFont val="Aptos Narrow"/>
        <family val="2"/>
      </rPr>
      <t>2</t>
    </r>
    <r>
      <rPr>
        <b/>
        <sz val="12"/>
        <color theme="1"/>
        <rFont val="Aptos Narrow"/>
        <family val="2"/>
      </rPr>
      <t xml:space="preserve"> (mLs)</t>
    </r>
  </si>
  <si>
    <r>
      <t>Step 3:</t>
    </r>
    <r>
      <rPr>
        <sz val="14"/>
        <color theme="1"/>
        <rFont val="Aptos Narrow"/>
        <family val="2"/>
      </rPr>
      <t xml:space="preserve"> WRITE DOWN the rates of CO</t>
    </r>
    <r>
      <rPr>
        <vertAlign val="subscript"/>
        <sz val="14"/>
        <color theme="1"/>
        <rFont val="Aptos Narrow"/>
        <family val="2"/>
      </rPr>
      <t>2</t>
    </r>
    <r>
      <rPr>
        <sz val="14"/>
        <color theme="1"/>
        <rFont val="Aptos Narrow"/>
        <family val="2"/>
      </rPr>
      <t xml:space="preserve"> production from your graphs for each of the replicates (four replicates for each condition).  Then click on the "Averages and T-Tests" tab to finish your data analysis.</t>
    </r>
  </si>
  <si>
    <r>
      <t>Fermentation Rates (mL CO</t>
    </r>
    <r>
      <rPr>
        <u/>
        <vertAlign val="subscript"/>
        <sz val="12"/>
        <color theme="1"/>
        <rFont val="Aptos Narrow"/>
        <family val="2"/>
      </rPr>
      <t>2</t>
    </r>
    <r>
      <rPr>
        <u/>
        <sz val="12"/>
        <color theme="1"/>
        <rFont val="Aptos Narrow"/>
        <family val="2"/>
      </rPr>
      <t>/min)</t>
    </r>
  </si>
  <si>
    <r>
      <rPr>
        <b/>
        <sz val="14"/>
        <color theme="1"/>
        <rFont val="Aptos Narrow"/>
        <family val="2"/>
      </rPr>
      <t>Step 6</t>
    </r>
    <r>
      <rPr>
        <sz val="14"/>
        <color theme="1"/>
        <rFont val="Aptos Narrow"/>
        <family val="2"/>
      </rPr>
      <t xml:space="preserve">: Fill in the table below and use it to make a </t>
    </r>
    <r>
      <rPr>
        <u/>
        <sz val="14"/>
        <color theme="1"/>
        <rFont val="Aptos Narrow"/>
        <family val="2"/>
      </rPr>
      <t>bar (column) graph</t>
    </r>
    <r>
      <rPr>
        <b/>
        <sz val="14"/>
        <color theme="1"/>
        <rFont val="Aptos Narrow"/>
        <family val="2"/>
      </rPr>
      <t xml:space="preserve"> </t>
    </r>
    <r>
      <rPr>
        <sz val="14"/>
        <color theme="1"/>
        <rFont val="Aptos Narrow"/>
        <family val="2"/>
      </rPr>
      <t xml:space="preserve">WITH lines showing the </t>
    </r>
    <r>
      <rPr>
        <u/>
        <sz val="14"/>
        <color theme="1"/>
        <rFont val="Aptos Narrow"/>
        <family val="2"/>
      </rPr>
      <t>standard deviations</t>
    </r>
    <r>
      <rPr>
        <sz val="14"/>
        <color theme="1"/>
        <rFont val="Aptos Narrow"/>
        <family val="2"/>
      </rPr>
      <t xml:space="preserve"> you calculated</t>
    </r>
    <r>
      <rPr>
        <b/>
        <sz val="14"/>
        <color theme="1"/>
        <rFont val="Aptos Narrow"/>
        <family val="2"/>
      </rPr>
      <t>.</t>
    </r>
    <r>
      <rPr>
        <sz val="14"/>
        <color theme="1"/>
        <rFont val="Aptos Narrow"/>
        <family val="2"/>
      </rPr>
      <t xml:space="preserve">  Change the "Experimental Condition" titles to the specific conditions you tested.</t>
    </r>
  </si>
  <si>
    <r>
      <t>Avg. Fermentation Rate (mL CO</t>
    </r>
    <r>
      <rPr>
        <b/>
        <vertAlign val="subscript"/>
        <sz val="12"/>
        <color theme="1"/>
        <rFont val="Aptos Narrow"/>
        <family val="2"/>
      </rPr>
      <t>2</t>
    </r>
    <r>
      <rPr>
        <b/>
        <sz val="12"/>
        <color theme="1"/>
        <rFont val="Aptos Narrow"/>
        <family val="2"/>
      </rPr>
      <t>/min)</t>
    </r>
  </si>
  <si>
    <r>
      <rPr>
        <b/>
        <sz val="14"/>
        <color theme="1"/>
        <rFont val="Aptos Narrow"/>
        <family val="2"/>
      </rPr>
      <t>Step 5:</t>
    </r>
    <r>
      <rPr>
        <sz val="14"/>
        <color theme="1"/>
        <rFont val="Aptos Narrow"/>
        <family val="2"/>
      </rPr>
      <t xml:space="preserve"> Use Excel equations to calculate averages, standard deviations, and t-test p-values.  </t>
    </r>
    <r>
      <rPr>
        <b/>
        <sz val="14"/>
        <color rgb="FFCC0066"/>
        <rFont val="Aptos Narrow"/>
        <family val="2"/>
      </rPr>
      <t xml:space="preserve">Make sure you compare each experimental condition to the control condition (i.e. don't compare them to each other). </t>
    </r>
    <r>
      <rPr>
        <b/>
        <sz val="14"/>
        <color theme="1"/>
        <rFont val="Aptos Narrow"/>
        <family val="2"/>
      </rPr>
      <t xml:space="preserve"> </t>
    </r>
    <r>
      <rPr>
        <sz val="14"/>
        <color theme="1"/>
        <rFont val="Aptos Narrow"/>
        <family val="2"/>
      </rPr>
      <t xml:space="preserve">Note that you may need to include more than 4 decimal places for your p-value if it's very small. </t>
    </r>
  </si>
  <si>
    <r>
      <t>Volume of CO</t>
    </r>
    <r>
      <rPr>
        <u/>
        <vertAlign val="subscript"/>
        <sz val="12"/>
        <color theme="1"/>
        <rFont val="Aptos Narrow"/>
        <family val="2"/>
      </rPr>
      <t>2</t>
    </r>
    <r>
      <rPr>
        <u/>
        <sz val="12"/>
        <color theme="1"/>
        <rFont val="Aptos Narrow"/>
        <family val="2"/>
      </rPr>
      <t xml:space="preserve"> (mL)</t>
    </r>
  </si>
  <si>
    <t>Initial Weight (g)</t>
  </si>
  <si>
    <t>Final Weight (g)</t>
  </si>
  <si>
    <r>
      <rPr>
        <b/>
        <sz val="14"/>
        <color theme="1"/>
        <rFont val="Aptos Narrow"/>
        <family val="2"/>
      </rPr>
      <t>Step 1</t>
    </r>
    <r>
      <rPr>
        <sz val="14"/>
        <color theme="1"/>
        <rFont val="Aptos Narrow"/>
        <family val="2"/>
      </rPr>
      <t>: Fill in the tables below with the tube weights you collected in lab for the two experimental conditions you tested (scroll down to see the second set of tables).  Label each condition and use Excel formulas to calculate the volume of CO</t>
    </r>
    <r>
      <rPr>
        <vertAlign val="subscript"/>
        <sz val="14"/>
        <color theme="1"/>
        <rFont val="Aptos Narrow"/>
        <family val="2"/>
      </rPr>
      <t>2</t>
    </r>
    <r>
      <rPr>
        <sz val="14"/>
        <color theme="1"/>
        <rFont val="Aptos Narrow"/>
        <family val="2"/>
      </rPr>
      <t xml:space="preserve"> produced.  Note that the tables are set up differently from what's in your handout to separate the replicates.</t>
    </r>
  </si>
  <si>
    <r>
      <t>Step 4</t>
    </r>
    <r>
      <rPr>
        <sz val="14"/>
        <color theme="1"/>
        <rFont val="Aptos Narrow"/>
        <family val="2"/>
      </rPr>
      <t>: Change the "Experimental Condition" titles to the specific conditions you're testing.  Enter the control condition rates provided by your lab TA, and the rates that you just determined from your graphs.</t>
    </r>
  </si>
  <si>
    <t>10%</t>
  </si>
  <si>
    <t>2.5%</t>
  </si>
  <si>
    <t>this value was a FAIL, but for sake of visualization I am going to make it the average of the other replicates</t>
  </si>
  <si>
    <t>Glucose 10%</t>
  </si>
  <si>
    <t>Glucose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</si>
</sst>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Arial"/>
      <family val="2"/>
    </font>
    <font>
      <sz val="14"/>
      <color theme="1"/>
      <name val="Aptos Narrow"/>
      <family val="2"/>
    </font>
    <font>
      <b/>
      <sz val="12"/>
      <color theme="1"/>
      <name val="Aptos Narrow"/>
      <family val="2"/>
    </font>
    <font>
      <sz val="12"/>
      <color theme="1"/>
      <name val="Aptos Narrow"/>
      <family val="2"/>
    </font>
    <font>
      <b/>
      <sz val="14"/>
      <color theme="1"/>
      <name val="Aptos Narrow"/>
      <family val="2"/>
    </font>
    <font>
      <vertAlign val="subscript"/>
      <sz val="14"/>
      <color theme="1"/>
      <name val="Aptos Narrow"/>
      <family val="2"/>
    </font>
    <font>
      <u/>
      <sz val="14"/>
      <color theme="1"/>
      <name val="Aptos Narrow"/>
      <family val="2"/>
    </font>
    <font>
      <u/>
      <vertAlign val="subscript"/>
      <sz val="14"/>
      <color theme="1"/>
      <name val="Aptos Narrow"/>
      <family val="2"/>
    </font>
    <font>
      <u/>
      <sz val="12"/>
      <color theme="1"/>
      <name val="Aptos Narrow"/>
      <family val="2"/>
    </font>
    <font>
      <u/>
      <vertAlign val="subscript"/>
      <sz val="12"/>
      <color theme="1"/>
      <name val="Aptos Narrow"/>
      <family val="2"/>
    </font>
    <font>
      <b/>
      <vertAlign val="subscript"/>
      <sz val="12"/>
      <color theme="1"/>
      <name val="Aptos Narrow"/>
      <family val="2"/>
    </font>
    <font>
      <b/>
      <sz val="14"/>
      <color rgb="FFCC0066"/>
      <name val="Aptos Narrow"/>
      <family val="2"/>
    </font>
    <font>
      <b/>
      <sz val="12"/>
      <color theme="1"/>
      <name val="Aptos Narrow"/>
    </font>
  </fonts>
  <fills count="4">
    <fill>
      <patternFill patternType="none"/>
    </fill>
    <fill>
      <patternFill patternType="gray125"/>
    </fill>
    <fill>
      <patternFill patternType="solid">
        <fgColor theme="0" tint="-0.14999847407452621"/>
        <bgColor indexed="64"/>
      </patternFill>
    </fill>
    <fill>
      <patternFill patternType="solid">
        <fgColor rgb="FFFFCC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2" fillId="0" borderId="0" xfId="0" applyFont="1"/>
    <xf numFmtId="0" fontId="3" fillId="0" borderId="0" xfId="0" applyFont="1"/>
    <xf numFmtId="0" fontId="3" fillId="0" borderId="0" xfId="0" applyFont="1" applyAlignment="1">
      <alignment vertical="center" wrapText="1"/>
    </xf>
    <xf numFmtId="0" fontId="1" fillId="0" borderId="0" xfId="0" applyFont="1" applyAlignment="1">
      <alignment vertical="center" wrapText="1"/>
    </xf>
    <xf numFmtId="49" fontId="3" fillId="0" borderId="0" xfId="0" applyNumberFormat="1" applyFont="1"/>
    <xf numFmtId="49" fontId="2" fillId="0" borderId="0" xfId="0" applyNumberFormat="1" applyFont="1"/>
    <xf numFmtId="49" fontId="8" fillId="0" borderId="0" xfId="0" applyNumberFormat="1" applyFont="1"/>
    <xf numFmtId="0" fontId="8" fillId="0" borderId="0" xfId="0" applyFont="1"/>
    <xf numFmtId="0" fontId="2" fillId="2" borderId="1" xfId="0" applyFont="1" applyFill="1" applyBorder="1"/>
    <xf numFmtId="0" fontId="3" fillId="0" borderId="1" xfId="0" applyFont="1" applyBorder="1"/>
    <xf numFmtId="164" fontId="3" fillId="0" borderId="1" xfId="0" applyNumberFormat="1" applyFont="1" applyBorder="1"/>
    <xf numFmtId="0" fontId="2" fillId="0" borderId="0" xfId="0" applyFont="1" applyAlignment="1">
      <alignment vertical="center" wrapText="1"/>
    </xf>
    <xf numFmtId="0" fontId="2" fillId="0" borderId="0" xfId="0" applyFont="1" applyAlignment="1">
      <alignment horizontal="left" vertical="center" wrapText="1"/>
    </xf>
    <xf numFmtId="0" fontId="2" fillId="0" borderId="1" xfId="0" applyFont="1" applyBorder="1"/>
    <xf numFmtId="2" fontId="3" fillId="0" borderId="1" xfId="0" applyNumberFormat="1" applyFont="1" applyBorder="1"/>
    <xf numFmtId="2" fontId="3" fillId="0" borderId="1" xfId="0" applyNumberFormat="1" applyFont="1" applyBorder="1" applyAlignment="1">
      <alignment horizontal="center"/>
    </xf>
    <xf numFmtId="0" fontId="12" fillId="0" borderId="0" xfId="0" applyFont="1"/>
    <xf numFmtId="0" fontId="0" fillId="0" borderId="2" xfId="0" applyBorder="1"/>
    <xf numFmtId="0" fontId="4" fillId="3" borderId="0" xfId="0" applyFont="1" applyFill="1" applyAlignment="1">
      <alignment horizontal="left" vertical="center" wrapText="1"/>
    </xf>
    <xf numFmtId="0" fontId="1"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mruColors>
      <color rgb="FFFFCCFF"/>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1.xml"/><Relationship Id="rId7" Type="http://schemas.openxmlformats.org/officeDocument/2006/relationships/styles" Target="styles.xml"/><Relationship Id="rId2" Type="http://schemas.openxmlformats.org/officeDocument/2006/relationships/chartsheet" Target="chartsheets/sheet2.xml"/><Relationship Id="rId1" Type="http://schemas.openxmlformats.org/officeDocument/2006/relationships/chartsheet" Target="chartsheets/sheet1.xml"/><Relationship Id="rId6" Type="http://schemas.openxmlformats.org/officeDocument/2006/relationships/theme" Target="theme/theme1.xml"/><Relationship Id="rId5" Type="http://schemas.openxmlformats.org/officeDocument/2006/relationships/worksheet" Target="worksheets/sheet2.xml"/><Relationship Id="rId4" Type="http://schemas.openxmlformats.org/officeDocument/2006/relationships/chartsheet" Target="chartsheets/sheet3.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Glucose</a:t>
            </a:r>
            <a:r>
              <a:rPr lang="en-US" baseline="0"/>
              <a:t> at 10%</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'Raw Data'!$L$11</c:f>
              <c:strCache>
                <c:ptCount val="1"/>
                <c:pt idx="0">
                  <c:v>Replicate A</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0.10218349596010691"/>
                  <c:y val="4.4445654257171799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Replicate A</a:t>
                    </a:r>
                  </a:p>
                  <a:p>
                    <a:pPr>
                      <a:defRPr/>
                    </a:pPr>
                    <a:r>
                      <a:rPr lang="en-US" baseline="0"/>
                      <a:t>y = 0.0281x</a:t>
                    </a:r>
                    <a:br>
                      <a:rPr lang="en-US" baseline="0"/>
                    </a:br>
                    <a:r>
                      <a:rPr lang="en-US" baseline="0"/>
                      <a:t>R² = 0.7254</a:t>
                    </a:r>
                    <a:endParaRPr lang="en-US"/>
                  </a:p>
                </c:rich>
              </c:tx>
              <c:numFmt formatCode="General" sourceLinked="0"/>
              <c:spPr>
                <a:noFill/>
                <a:ln>
                  <a:solidFill>
                    <a:schemeClr val="accent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Data'!$M$10:$P$10</c:f>
              <c:numCache>
                <c:formatCode>General</c:formatCode>
                <c:ptCount val="4"/>
                <c:pt idx="0">
                  <c:v>5</c:v>
                </c:pt>
                <c:pt idx="1">
                  <c:v>10</c:v>
                </c:pt>
                <c:pt idx="2">
                  <c:v>15</c:v>
                </c:pt>
                <c:pt idx="3">
                  <c:v>20</c:v>
                </c:pt>
              </c:numCache>
            </c:numRef>
          </c:xVal>
          <c:yVal>
            <c:numRef>
              <c:f>'Raw Data'!$M$11:$P$11</c:f>
              <c:numCache>
                <c:formatCode>General</c:formatCode>
                <c:ptCount val="4"/>
                <c:pt idx="0">
                  <c:v>0.01</c:v>
                </c:pt>
                <c:pt idx="1">
                  <c:v>0.16</c:v>
                </c:pt>
                <c:pt idx="2">
                  <c:v>0.12</c:v>
                </c:pt>
                <c:pt idx="3">
                  <c:v>0.88</c:v>
                </c:pt>
              </c:numCache>
            </c:numRef>
          </c:yVal>
          <c:smooth val="0"/>
          <c:extLst>
            <c:ext xmlns:c16="http://schemas.microsoft.com/office/drawing/2014/chart" uri="{C3380CC4-5D6E-409C-BE32-E72D297353CC}">
              <c16:uniqueId val="{00000000-98B7-F64E-9D7D-4211ED143276}"/>
            </c:ext>
          </c:extLst>
        </c:ser>
        <c:ser>
          <c:idx val="1"/>
          <c:order val="1"/>
          <c:tx>
            <c:strRef>
              <c:f>'Raw Data'!$L$12</c:f>
              <c:strCache>
                <c:ptCount val="1"/>
                <c:pt idx="0">
                  <c:v>Replicate B</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intercept val="0"/>
            <c:dispRSqr val="1"/>
            <c:dispEq val="1"/>
            <c:trendlineLbl>
              <c:layout>
                <c:manualLayout>
                  <c:x val="-8.75365913123788E-2"/>
                  <c:y val="3.6883369595877976E-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Replicate B</a:t>
                    </a:r>
                  </a:p>
                  <a:p>
                    <a:pPr>
                      <a:defRPr/>
                    </a:pPr>
                    <a:r>
                      <a:rPr lang="en-US" baseline="0"/>
                      <a:t>y = 0.0177x</a:t>
                    </a:r>
                    <a:br>
                      <a:rPr lang="en-US" baseline="0"/>
                    </a:br>
                    <a:r>
                      <a:rPr lang="en-US" baseline="0"/>
                      <a:t>R² = 0.9166</a:t>
                    </a:r>
                    <a:endParaRPr lang="en-US"/>
                  </a:p>
                </c:rich>
              </c:tx>
              <c:numFmt formatCode="General" sourceLinked="0"/>
              <c:spPr>
                <a:noFill/>
                <a:ln>
                  <a:solidFill>
                    <a:schemeClr val="accent2"/>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Data'!$M$10:$P$10</c:f>
              <c:numCache>
                <c:formatCode>General</c:formatCode>
                <c:ptCount val="4"/>
                <c:pt idx="0">
                  <c:v>5</c:v>
                </c:pt>
                <c:pt idx="1">
                  <c:v>10</c:v>
                </c:pt>
                <c:pt idx="2">
                  <c:v>15</c:v>
                </c:pt>
                <c:pt idx="3">
                  <c:v>20</c:v>
                </c:pt>
              </c:numCache>
            </c:numRef>
          </c:xVal>
          <c:yVal>
            <c:numRef>
              <c:f>'Raw Data'!$M$12:$P$12</c:f>
              <c:numCache>
                <c:formatCode>General</c:formatCode>
                <c:ptCount val="4"/>
                <c:pt idx="0">
                  <c:v>0.02</c:v>
                </c:pt>
                <c:pt idx="1">
                  <c:v>0.15</c:v>
                </c:pt>
                <c:pt idx="2">
                  <c:v>0.38</c:v>
                </c:pt>
                <c:pt idx="3">
                  <c:v>0.3</c:v>
                </c:pt>
              </c:numCache>
            </c:numRef>
          </c:yVal>
          <c:smooth val="0"/>
          <c:extLst>
            <c:ext xmlns:c16="http://schemas.microsoft.com/office/drawing/2014/chart" uri="{C3380CC4-5D6E-409C-BE32-E72D297353CC}">
              <c16:uniqueId val="{00000001-98B7-F64E-9D7D-4211ED143276}"/>
            </c:ext>
          </c:extLst>
        </c:ser>
        <c:ser>
          <c:idx val="2"/>
          <c:order val="2"/>
          <c:tx>
            <c:strRef>
              <c:f>'Raw Data'!$L$13</c:f>
              <c:strCache>
                <c:ptCount val="1"/>
                <c:pt idx="0">
                  <c:v>Replicate C</c:v>
                </c:pt>
              </c:strCache>
            </c:strRef>
          </c:tx>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intercept val="0"/>
            <c:dispRSqr val="1"/>
            <c:dispEq val="1"/>
            <c:trendlineLbl>
              <c:layout>
                <c:manualLayout>
                  <c:x val="-1.1198538907829913E-3"/>
                  <c:y val="-4.2809860101076673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Replicate C</a:t>
                    </a:r>
                  </a:p>
                  <a:p>
                    <a:pPr>
                      <a:defRPr/>
                    </a:pPr>
                    <a:r>
                      <a:rPr lang="en-US" baseline="0"/>
                      <a:t>y = 0.0177x</a:t>
                    </a:r>
                    <a:br>
                      <a:rPr lang="en-US" baseline="0"/>
                    </a:br>
                    <a:r>
                      <a:rPr lang="en-US" baseline="0"/>
                      <a:t>R² = 0.9068</a:t>
                    </a:r>
                    <a:endParaRPr lang="en-US"/>
                  </a:p>
                </c:rich>
              </c:tx>
              <c:numFmt formatCode="General" sourceLinked="0"/>
              <c:spPr>
                <a:noFill/>
                <a:ln>
                  <a:solidFill>
                    <a:schemeClr val="accent3"/>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Data'!$M$10:$P$10</c:f>
              <c:numCache>
                <c:formatCode>General</c:formatCode>
                <c:ptCount val="4"/>
                <c:pt idx="0">
                  <c:v>5</c:v>
                </c:pt>
                <c:pt idx="1">
                  <c:v>10</c:v>
                </c:pt>
                <c:pt idx="2">
                  <c:v>15</c:v>
                </c:pt>
                <c:pt idx="3">
                  <c:v>20</c:v>
                </c:pt>
              </c:numCache>
            </c:numRef>
          </c:xVal>
          <c:yVal>
            <c:numRef>
              <c:f>'Raw Data'!$M$13:$P$13</c:f>
              <c:numCache>
                <c:formatCode>General</c:formatCode>
                <c:ptCount val="4"/>
                <c:pt idx="0">
                  <c:v>0.2</c:v>
                </c:pt>
                <c:pt idx="1">
                  <c:v>0.14000000000000001</c:v>
                </c:pt>
                <c:pt idx="2">
                  <c:v>0.18</c:v>
                </c:pt>
                <c:pt idx="3">
                  <c:v>0.41</c:v>
                </c:pt>
              </c:numCache>
            </c:numRef>
          </c:yVal>
          <c:smooth val="0"/>
          <c:extLst>
            <c:ext xmlns:c16="http://schemas.microsoft.com/office/drawing/2014/chart" uri="{C3380CC4-5D6E-409C-BE32-E72D297353CC}">
              <c16:uniqueId val="{00000002-98B7-F64E-9D7D-4211ED143276}"/>
            </c:ext>
          </c:extLst>
        </c:ser>
        <c:ser>
          <c:idx val="3"/>
          <c:order val="3"/>
          <c:tx>
            <c:strRef>
              <c:f>'Raw Data'!$L$14</c:f>
              <c:strCache>
                <c:ptCount val="1"/>
                <c:pt idx="0">
                  <c:v>Replicate D</c:v>
                </c:pt>
              </c:strCache>
            </c:strRef>
          </c:tx>
          <c:spPr>
            <a:ln w="1905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intercept val="0"/>
            <c:dispRSqr val="1"/>
            <c:dispEq val="1"/>
            <c:trendlineLbl>
              <c:layout>
                <c:manualLayout>
                  <c:x val="1.0597669827399491E-2"/>
                  <c:y val="7.2143043162934392E-2"/>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Replicate D</a:t>
                    </a:r>
                  </a:p>
                  <a:p>
                    <a:pPr>
                      <a:defRPr/>
                    </a:pPr>
                    <a:r>
                      <a:rPr lang="en-US" baseline="0"/>
                      <a:t>y = 0.0171x</a:t>
                    </a:r>
                    <a:br>
                      <a:rPr lang="en-US" baseline="0"/>
                    </a:br>
                    <a:r>
                      <a:rPr lang="en-US" baseline="0"/>
                      <a:t>R² = 0.9523</a:t>
                    </a:r>
                    <a:endParaRPr lang="en-US"/>
                  </a:p>
                </c:rich>
              </c:tx>
              <c:numFmt formatCode="General" sourceLinked="0"/>
              <c:spPr>
                <a:noFill/>
                <a:ln>
                  <a:solidFill>
                    <a:srgbClr val="7030A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Data'!$M$10:$P$10</c:f>
              <c:numCache>
                <c:formatCode>General</c:formatCode>
                <c:ptCount val="4"/>
                <c:pt idx="0">
                  <c:v>5</c:v>
                </c:pt>
                <c:pt idx="1">
                  <c:v>10</c:v>
                </c:pt>
                <c:pt idx="2">
                  <c:v>15</c:v>
                </c:pt>
                <c:pt idx="3">
                  <c:v>20</c:v>
                </c:pt>
              </c:numCache>
            </c:numRef>
          </c:xVal>
          <c:yVal>
            <c:numRef>
              <c:f>'Raw Data'!$M$14:$P$14</c:f>
              <c:numCache>
                <c:formatCode>General</c:formatCode>
                <c:ptCount val="4"/>
                <c:pt idx="0">
                  <c:v>0</c:v>
                </c:pt>
                <c:pt idx="1">
                  <c:v>0.17</c:v>
                </c:pt>
                <c:pt idx="2">
                  <c:v>0.22</c:v>
                </c:pt>
                <c:pt idx="3">
                  <c:v>0.39</c:v>
                </c:pt>
              </c:numCache>
            </c:numRef>
          </c:yVal>
          <c:smooth val="0"/>
          <c:extLst>
            <c:ext xmlns:c16="http://schemas.microsoft.com/office/drawing/2014/chart" uri="{C3380CC4-5D6E-409C-BE32-E72D297353CC}">
              <c16:uniqueId val="{00000003-98B7-F64E-9D7D-4211ED143276}"/>
            </c:ext>
          </c:extLst>
        </c:ser>
        <c:dLbls>
          <c:showLegendKey val="0"/>
          <c:showVal val="0"/>
          <c:showCatName val="0"/>
          <c:showSerName val="0"/>
          <c:showPercent val="0"/>
          <c:showBubbleSize val="0"/>
        </c:dLbls>
        <c:axId val="1595986608"/>
        <c:axId val="1595989568"/>
      </c:scatterChart>
      <c:valAx>
        <c:axId val="1595986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Time Trial Length(in Minutes)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989568"/>
        <c:crosses val="autoZero"/>
        <c:crossBetween val="midCat"/>
      </c:valAx>
      <c:valAx>
        <c:axId val="1595989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a:t>
                </a:r>
                <a:r>
                  <a:rPr lang="en-US" baseline="0"/>
                  <a:t> CO2 Produced(in mLs)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986608"/>
        <c:crosses val="autoZero"/>
        <c:crossBetween val="midCat"/>
      </c:valAx>
      <c:spPr>
        <a:noFill/>
        <a:ln>
          <a:noFill/>
        </a:ln>
        <a:effectLst/>
      </c:spPr>
    </c:plotArea>
    <c:legend>
      <c:legendPos val="r"/>
      <c:legendEntry>
        <c:idx val="4"/>
        <c:delete val="1"/>
      </c:legendEntry>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Glucose</a:t>
            </a:r>
            <a:r>
              <a:rPr lang="en-US" baseline="0"/>
              <a:t> at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'Raw Data'!$R$11</c:f>
              <c:strCache>
                <c:ptCount val="1"/>
                <c:pt idx="0">
                  <c:v>Replicate A</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2.3090210862375147E-2"/>
                  <c:y val="7.6759433833113342E-4"/>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Replicate A</a:t>
                    </a:r>
                  </a:p>
                  <a:p>
                    <a:pPr>
                      <a:defRPr/>
                    </a:pPr>
                    <a:r>
                      <a:rPr lang="en-US" baseline="0"/>
                      <a:t>y = 0.0321x</a:t>
                    </a:r>
                    <a:br>
                      <a:rPr lang="en-US" baseline="0"/>
                    </a:br>
                    <a:r>
                      <a:rPr lang="en-US" baseline="0"/>
                      <a:t>R² = 0.9374</a:t>
                    </a:r>
                    <a:endParaRPr lang="en-US"/>
                  </a:p>
                </c:rich>
              </c:tx>
              <c:numFmt formatCode="General" sourceLinked="0"/>
              <c:spPr>
                <a:noFill/>
                <a:ln>
                  <a:solidFill>
                    <a:schemeClr val="accent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Data'!$S$10:$V$10</c:f>
              <c:numCache>
                <c:formatCode>General</c:formatCode>
                <c:ptCount val="4"/>
                <c:pt idx="0">
                  <c:v>5</c:v>
                </c:pt>
                <c:pt idx="1">
                  <c:v>10</c:v>
                </c:pt>
                <c:pt idx="2">
                  <c:v>15</c:v>
                </c:pt>
                <c:pt idx="3">
                  <c:v>20</c:v>
                </c:pt>
              </c:numCache>
            </c:numRef>
          </c:xVal>
          <c:yVal>
            <c:numRef>
              <c:f>'Raw Data'!$S$11:$V$11</c:f>
              <c:numCache>
                <c:formatCode>General</c:formatCode>
                <c:ptCount val="4"/>
                <c:pt idx="0">
                  <c:v>0.12</c:v>
                </c:pt>
                <c:pt idx="1">
                  <c:v>0.53</c:v>
                </c:pt>
                <c:pt idx="2">
                  <c:v>0.45</c:v>
                </c:pt>
                <c:pt idx="3">
                  <c:v>0.56999999999999995</c:v>
                </c:pt>
              </c:numCache>
            </c:numRef>
          </c:yVal>
          <c:smooth val="0"/>
          <c:extLst>
            <c:ext xmlns:c16="http://schemas.microsoft.com/office/drawing/2014/chart" uri="{C3380CC4-5D6E-409C-BE32-E72D297353CC}">
              <c16:uniqueId val="{00000000-7F70-6749-A2B3-9913589DB3DB}"/>
            </c:ext>
          </c:extLst>
        </c:ser>
        <c:ser>
          <c:idx val="1"/>
          <c:order val="1"/>
          <c:tx>
            <c:strRef>
              <c:f>'Raw Data'!$R$12</c:f>
              <c:strCache>
                <c:ptCount val="1"/>
                <c:pt idx="0">
                  <c:v>Replicate B</c:v>
                </c:pt>
              </c:strCache>
            </c:strRef>
          </c:tx>
          <c:spPr>
            <a:ln w="1905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intercept val="0"/>
            <c:dispRSqr val="1"/>
            <c:dispEq val="1"/>
            <c:trendlineLbl>
              <c:layout>
                <c:manualLayout>
                  <c:x val="1.3527050756945113E-2"/>
                  <c:y val="0.10763289951995904"/>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Replicate B</a:t>
                    </a:r>
                  </a:p>
                  <a:p>
                    <a:pPr>
                      <a:defRPr/>
                    </a:pPr>
                    <a:r>
                      <a:rPr lang="en-US" baseline="0"/>
                      <a:t>y = 0.0235x</a:t>
                    </a:r>
                    <a:br>
                      <a:rPr lang="en-US" baseline="0"/>
                    </a:br>
                    <a:r>
                      <a:rPr lang="en-US" baseline="0"/>
                      <a:t>R² = 0.8644</a:t>
                    </a:r>
                    <a:endParaRPr lang="en-US"/>
                  </a:p>
                </c:rich>
              </c:tx>
              <c:numFmt formatCode="General" sourceLinked="0"/>
              <c:spPr>
                <a:noFill/>
                <a:ln>
                  <a:solidFill>
                    <a:schemeClr val="accent2"/>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Data'!$S$10:$V$10</c:f>
              <c:numCache>
                <c:formatCode>General</c:formatCode>
                <c:ptCount val="4"/>
                <c:pt idx="0">
                  <c:v>5</c:v>
                </c:pt>
                <c:pt idx="1">
                  <c:v>10</c:v>
                </c:pt>
                <c:pt idx="2">
                  <c:v>15</c:v>
                </c:pt>
                <c:pt idx="3">
                  <c:v>20</c:v>
                </c:pt>
              </c:numCache>
            </c:numRef>
          </c:xVal>
          <c:yVal>
            <c:numRef>
              <c:f>'Raw Data'!$S$12:$V$12</c:f>
              <c:numCache>
                <c:formatCode>General</c:formatCode>
                <c:ptCount val="4"/>
                <c:pt idx="0">
                  <c:v>0.15</c:v>
                </c:pt>
                <c:pt idx="1">
                  <c:v>0.04</c:v>
                </c:pt>
                <c:pt idx="2">
                  <c:v>0.51</c:v>
                </c:pt>
                <c:pt idx="3">
                  <c:v>0.44</c:v>
                </c:pt>
              </c:numCache>
            </c:numRef>
          </c:yVal>
          <c:smooth val="0"/>
          <c:extLst>
            <c:ext xmlns:c16="http://schemas.microsoft.com/office/drawing/2014/chart" uri="{C3380CC4-5D6E-409C-BE32-E72D297353CC}">
              <c16:uniqueId val="{00000001-7F70-6749-A2B3-9913589DB3DB}"/>
            </c:ext>
          </c:extLst>
        </c:ser>
        <c:ser>
          <c:idx val="2"/>
          <c:order val="2"/>
          <c:tx>
            <c:strRef>
              <c:f>'Raw Data'!$R$13</c:f>
              <c:strCache>
                <c:ptCount val="1"/>
                <c:pt idx="0">
                  <c:v>Replicate C</c:v>
                </c:pt>
              </c:strCache>
            </c:strRef>
          </c:tx>
          <c:spPr>
            <a:ln w="1905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intercept val="0"/>
            <c:dispRSqr val="1"/>
            <c:dispEq val="1"/>
            <c:trendlineLbl>
              <c:layout>
                <c:manualLayout>
                  <c:x val="8.090281213649439E-2"/>
                  <c:y val="-2.6467837128643207E-3"/>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Replicate C</a:t>
                    </a:r>
                  </a:p>
                  <a:p>
                    <a:pPr>
                      <a:defRPr/>
                    </a:pPr>
                    <a:r>
                      <a:rPr lang="en-US" baseline="0"/>
                      <a:t>y = 0.0259x</a:t>
                    </a:r>
                    <a:br>
                      <a:rPr lang="en-US" baseline="0"/>
                    </a:br>
                    <a:r>
                      <a:rPr lang="en-US" baseline="0"/>
                      <a:t>R² = 0.8951</a:t>
                    </a:r>
                    <a:endParaRPr lang="en-US"/>
                  </a:p>
                </c:rich>
              </c:tx>
              <c:numFmt formatCode="General" sourceLinked="0"/>
              <c:spPr>
                <a:noFill/>
                <a:ln>
                  <a:solidFill>
                    <a:schemeClr val="accent3"/>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Data'!$S$10:$V$10</c:f>
              <c:numCache>
                <c:formatCode>General</c:formatCode>
                <c:ptCount val="4"/>
                <c:pt idx="0">
                  <c:v>5</c:v>
                </c:pt>
                <c:pt idx="1">
                  <c:v>10</c:v>
                </c:pt>
                <c:pt idx="2">
                  <c:v>15</c:v>
                </c:pt>
                <c:pt idx="3">
                  <c:v>20</c:v>
                </c:pt>
              </c:numCache>
            </c:numRef>
          </c:xVal>
          <c:yVal>
            <c:numRef>
              <c:f>'Raw Data'!$S$13:$V$13</c:f>
              <c:numCache>
                <c:formatCode>General</c:formatCode>
                <c:ptCount val="4"/>
                <c:pt idx="0">
                  <c:v>0.27</c:v>
                </c:pt>
                <c:pt idx="1">
                  <c:v>0.19</c:v>
                </c:pt>
                <c:pt idx="2">
                  <c:v>0.24</c:v>
                </c:pt>
                <c:pt idx="3">
                  <c:v>0.63</c:v>
                </c:pt>
              </c:numCache>
            </c:numRef>
          </c:yVal>
          <c:smooth val="0"/>
          <c:extLst>
            <c:ext xmlns:c16="http://schemas.microsoft.com/office/drawing/2014/chart" uri="{C3380CC4-5D6E-409C-BE32-E72D297353CC}">
              <c16:uniqueId val="{00000002-7F70-6749-A2B3-9913589DB3DB}"/>
            </c:ext>
          </c:extLst>
        </c:ser>
        <c:ser>
          <c:idx val="3"/>
          <c:order val="3"/>
          <c:tx>
            <c:strRef>
              <c:f>'Raw Data'!$R$14</c:f>
              <c:strCache>
                <c:ptCount val="1"/>
                <c:pt idx="0">
                  <c:v>Replicate D</c:v>
                </c:pt>
              </c:strCache>
            </c:strRef>
          </c:tx>
          <c:spPr>
            <a:ln w="1905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ysDot"/>
              </a:ln>
              <a:effectLst/>
            </c:spPr>
            <c:trendlineType val="linear"/>
            <c:intercept val="0"/>
            <c:dispRSqr val="1"/>
            <c:dispEq val="1"/>
            <c:trendlineLbl>
              <c:layout>
                <c:manualLayout>
                  <c:x val="-3.0413663186239198E-2"/>
                  <c:y val="0.15076797638445555"/>
                </c:manualLayout>
              </c:layout>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baseline="0"/>
                      <a:t>Replicate D</a:t>
                    </a:r>
                  </a:p>
                  <a:p>
                    <a:pPr>
                      <a:defRPr/>
                    </a:pPr>
                    <a:r>
                      <a:rPr lang="en-US" baseline="0"/>
                      <a:t>y = 0.0303x</a:t>
                    </a:r>
                    <a:br>
                      <a:rPr lang="en-US" baseline="0"/>
                    </a:br>
                    <a:r>
                      <a:rPr lang="en-US" baseline="0"/>
                      <a:t>R² = 0.9696</a:t>
                    </a:r>
                    <a:endParaRPr lang="en-US"/>
                  </a:p>
                </c:rich>
              </c:tx>
              <c:numFmt formatCode="General" sourceLinked="0"/>
              <c:spPr>
                <a:noFill/>
                <a:ln>
                  <a:solidFill>
                    <a:schemeClr val="accent4"/>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Data'!$S$10:$V$10</c:f>
              <c:numCache>
                <c:formatCode>General</c:formatCode>
                <c:ptCount val="4"/>
                <c:pt idx="0">
                  <c:v>5</c:v>
                </c:pt>
                <c:pt idx="1">
                  <c:v>10</c:v>
                </c:pt>
                <c:pt idx="2">
                  <c:v>15</c:v>
                </c:pt>
                <c:pt idx="3">
                  <c:v>20</c:v>
                </c:pt>
              </c:numCache>
            </c:numRef>
          </c:xVal>
          <c:yVal>
            <c:numRef>
              <c:f>'Raw Data'!$S$14:$V$14</c:f>
              <c:numCache>
                <c:formatCode>General</c:formatCode>
                <c:ptCount val="4"/>
                <c:pt idx="0">
                  <c:v>0.28999999999999998</c:v>
                </c:pt>
                <c:pt idx="1">
                  <c:v>0.32</c:v>
                </c:pt>
                <c:pt idx="2">
                  <c:v>0.46</c:v>
                </c:pt>
                <c:pt idx="3">
                  <c:v>0.56000000000000005</c:v>
                </c:pt>
              </c:numCache>
            </c:numRef>
          </c:yVal>
          <c:smooth val="0"/>
          <c:extLst>
            <c:ext xmlns:c16="http://schemas.microsoft.com/office/drawing/2014/chart" uri="{C3380CC4-5D6E-409C-BE32-E72D297353CC}">
              <c16:uniqueId val="{00000003-7F70-6749-A2B3-9913589DB3DB}"/>
            </c:ext>
          </c:extLst>
        </c:ser>
        <c:dLbls>
          <c:showLegendKey val="0"/>
          <c:showVal val="0"/>
          <c:showCatName val="0"/>
          <c:showSerName val="0"/>
          <c:showPercent val="0"/>
          <c:showBubbleSize val="0"/>
        </c:dLbls>
        <c:axId val="1478278655"/>
        <c:axId val="1608588832"/>
      </c:scatterChart>
      <c:valAx>
        <c:axId val="14782786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Trial Length(in Minutes)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588832"/>
        <c:crosses val="autoZero"/>
        <c:crossBetween val="midCat"/>
      </c:valAx>
      <c:valAx>
        <c:axId val="1608588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Volume CO2 Produced(in mLs)</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78655"/>
        <c:crosses val="autoZero"/>
        <c:crossBetween val="midCat"/>
      </c:valAx>
      <c:spPr>
        <a:noFill/>
        <a:ln>
          <a:noFill/>
        </a:ln>
        <a:effectLst/>
      </c:spPr>
    </c:plotArea>
    <c:legend>
      <c:legendPos val="r"/>
      <c:legendEntry>
        <c:idx val="4"/>
        <c:delete val="1"/>
      </c:legendEntry>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errBars>
            <c:errBarType val="both"/>
            <c:errValType val="cust"/>
            <c:noEndCap val="0"/>
            <c:plus>
              <c:numRef>
                <c:f>'Averages and T-Tests'!$H$10:$H$12</c:f>
                <c:numCache>
                  <c:formatCode>General</c:formatCode>
                  <c:ptCount val="3"/>
                  <c:pt idx="0">
                    <c:v>1E-3</c:v>
                  </c:pt>
                  <c:pt idx="1">
                    <c:v>5.0000000000000001E-3</c:v>
                  </c:pt>
                  <c:pt idx="2">
                    <c:v>3.0000000000000001E-3</c:v>
                  </c:pt>
                </c:numCache>
              </c:numRef>
            </c:plus>
            <c:minus>
              <c:numRef>
                <c:f>'Averages and T-Tests'!$H$10:$H$12</c:f>
                <c:numCache>
                  <c:formatCode>General</c:formatCode>
                  <c:ptCount val="3"/>
                  <c:pt idx="0">
                    <c:v>1E-3</c:v>
                  </c:pt>
                  <c:pt idx="1">
                    <c:v>5.0000000000000001E-3</c:v>
                  </c:pt>
                  <c:pt idx="2">
                    <c:v>3.0000000000000001E-3</c:v>
                  </c:pt>
                </c:numCache>
              </c:numRef>
            </c:minus>
            <c:spPr>
              <a:noFill/>
              <a:ln w="9525">
                <a:solidFill>
                  <a:schemeClr val="tx2">
                    <a:lumMod val="75000"/>
                    <a:lumOff val="25000"/>
                  </a:schemeClr>
                </a:solidFill>
                <a:round/>
              </a:ln>
              <a:effectLst/>
            </c:spPr>
          </c:errBars>
          <c:cat>
            <c:strRef>
              <c:f>'Averages and T-Tests'!$F$10:$F$12</c:f>
              <c:strCache>
                <c:ptCount val="3"/>
                <c:pt idx="0">
                  <c:v>Control Condition</c:v>
                </c:pt>
                <c:pt idx="1">
                  <c:v>Glucose 10%</c:v>
                </c:pt>
                <c:pt idx="2">
                  <c:v>Glucose 2.5%</c:v>
                </c:pt>
              </c:strCache>
            </c:strRef>
          </c:cat>
          <c:val>
            <c:numRef>
              <c:f>'Averages and T-Tests'!$G$10:$G$12</c:f>
              <c:numCache>
                <c:formatCode>0.000</c:formatCode>
                <c:ptCount val="3"/>
                <c:pt idx="0">
                  <c:v>0.02</c:v>
                </c:pt>
                <c:pt idx="1">
                  <c:v>0.02</c:v>
                </c:pt>
                <c:pt idx="2">
                  <c:v>2.8000000000000001E-2</c:v>
                </c:pt>
              </c:numCache>
            </c:numRef>
          </c:val>
          <c:extLst>
            <c:ext xmlns:c16="http://schemas.microsoft.com/office/drawing/2014/chart" uri="{C3380CC4-5D6E-409C-BE32-E72D297353CC}">
              <c16:uniqueId val="{00000000-392B-0B41-A0F2-0A39AFCDE6DE}"/>
            </c:ext>
          </c:extLst>
        </c:ser>
        <c:dLbls>
          <c:dLblPos val="inEnd"/>
          <c:showLegendKey val="0"/>
          <c:showVal val="1"/>
          <c:showCatName val="0"/>
          <c:showSerName val="0"/>
          <c:showPercent val="0"/>
          <c:showBubbleSize val="0"/>
        </c:dLbls>
        <c:gapWidth val="100"/>
        <c:overlap val="-24"/>
        <c:axId val="1593354528"/>
        <c:axId val="237566096"/>
      </c:barChart>
      <c:catAx>
        <c:axId val="159335452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7566096"/>
        <c:crosses val="autoZero"/>
        <c:auto val="1"/>
        <c:lblAlgn val="ctr"/>
        <c:lblOffset val="100"/>
        <c:noMultiLvlLbl val="0"/>
      </c:catAx>
      <c:valAx>
        <c:axId val="237566096"/>
        <c:scaling>
          <c:orientation val="minMax"/>
        </c:scaling>
        <c:delete val="0"/>
        <c:axPos val="l"/>
        <c:majorGridlines>
          <c:spPr>
            <a:ln w="9525" cap="flat" cmpd="sng" algn="ctr">
              <a:solidFill>
                <a:schemeClr val="tx2">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93354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0574BE1-E371-1B4B-B060-7C05A2AF2813}">
  <sheetPr/>
  <sheetViews>
    <sheetView zoomScale="15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02EC28-5A40-9149-9A86-871BEFCE7A14}">
  <sheetPr/>
  <sheetViews>
    <sheetView zoomScale="144" workbookViewId="0"/>
  </sheetViews>
  <pageMargins left="0.7" right="0.7" top="0.75" bottom="0.75" header="0.3" footer="0.3"/>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AC78F53-FA8D-9D48-B5AF-D2B263F88E29}">
  <sheetPr/>
  <sheetViews>
    <sheetView zoomScale="16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8670774" cy="6281964"/>
    <xdr:graphicFrame macro="">
      <xdr:nvGraphicFramePr>
        <xdr:cNvPr id="2" name="Chart 1">
          <a:extLst>
            <a:ext uri="{FF2B5EF4-FFF2-40B4-BE49-F238E27FC236}">
              <a16:creationId xmlns:a16="http://schemas.microsoft.com/office/drawing/2014/main" id="{E9ED0314-4F9A-47FF-8C72-53F1477AF46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69514" cy="6279444"/>
    <xdr:graphicFrame macro="">
      <xdr:nvGraphicFramePr>
        <xdr:cNvPr id="2" name="Chart 1">
          <a:extLst>
            <a:ext uri="{FF2B5EF4-FFF2-40B4-BE49-F238E27FC236}">
              <a16:creationId xmlns:a16="http://schemas.microsoft.com/office/drawing/2014/main" id="{D45743CA-E8E6-778B-F8C8-6C07CB3954C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70774" cy="6281964"/>
    <xdr:graphicFrame macro="">
      <xdr:nvGraphicFramePr>
        <xdr:cNvPr id="2" name="Chart 1">
          <a:extLst>
            <a:ext uri="{FF2B5EF4-FFF2-40B4-BE49-F238E27FC236}">
              <a16:creationId xmlns:a16="http://schemas.microsoft.com/office/drawing/2014/main" id="{017DF2A5-6B0D-EAA7-2E0E-DA9E0B65CF7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6"/>
  <sheetViews>
    <sheetView topLeftCell="A12" zoomScale="131" workbookViewId="0">
      <selection activeCell="Q32" sqref="Q32"/>
    </sheetView>
  </sheetViews>
  <sheetFormatPr baseColWidth="10" defaultColWidth="8.83203125" defaultRowHeight="20" customHeight="1" x14ac:dyDescent="0.2"/>
  <cols>
    <col min="1" max="1" width="12.6640625" style="2" customWidth="1"/>
    <col min="2" max="3" width="14.5" style="2" customWidth="1"/>
    <col min="4" max="4" width="16.5" style="2" customWidth="1"/>
    <col min="5" max="5" width="6.6640625" style="2" customWidth="1"/>
    <col min="6" max="6" width="12.6640625" style="2" customWidth="1"/>
    <col min="7" max="8" width="14.5" style="2" customWidth="1"/>
    <col min="9" max="9" width="16.5" style="2" customWidth="1"/>
    <col min="10" max="10" width="5.5" style="2" customWidth="1"/>
    <col min="11" max="11" width="5.33203125" style="2" customWidth="1"/>
    <col min="12" max="12" width="12.6640625" style="2" customWidth="1"/>
    <col min="13" max="16" width="8.83203125" style="2"/>
    <col min="17" max="17" width="4.83203125" style="2" customWidth="1"/>
    <col min="18" max="18" width="12.6640625" style="2" customWidth="1"/>
    <col min="19" max="16384" width="8.83203125" style="2"/>
  </cols>
  <sheetData>
    <row r="1" spans="1:23" ht="20" customHeight="1" x14ac:dyDescent="0.2">
      <c r="A1" s="1" t="s">
        <v>14</v>
      </c>
    </row>
    <row r="2" spans="1:23" ht="20" customHeight="1" x14ac:dyDescent="0.2">
      <c r="A2" s="20" t="s">
        <v>26</v>
      </c>
      <c r="B2" s="20"/>
      <c r="C2" s="20"/>
      <c r="D2" s="20"/>
      <c r="E2" s="20"/>
      <c r="F2" s="20"/>
      <c r="G2" s="20"/>
      <c r="H2" s="20"/>
      <c r="I2" s="20"/>
    </row>
    <row r="3" spans="1:23" ht="20" customHeight="1" x14ac:dyDescent="0.2">
      <c r="A3" s="20"/>
      <c r="B3" s="20"/>
      <c r="C3" s="20"/>
      <c r="D3" s="20"/>
      <c r="E3" s="20"/>
      <c r="F3" s="20"/>
      <c r="G3" s="20"/>
      <c r="H3" s="20"/>
      <c r="I3" s="20"/>
      <c r="J3" s="3"/>
      <c r="L3" s="19" t="s">
        <v>15</v>
      </c>
      <c r="M3" s="19"/>
      <c r="N3" s="19"/>
      <c r="O3" s="19"/>
      <c r="P3" s="19"/>
      <c r="Q3" s="19"/>
      <c r="R3" s="19"/>
      <c r="S3" s="19"/>
      <c r="T3" s="19"/>
      <c r="U3" s="19"/>
      <c r="V3" s="19"/>
      <c r="W3" s="19"/>
    </row>
    <row r="4" spans="1:23" ht="20" customHeight="1" x14ac:dyDescent="0.2">
      <c r="A4" s="20"/>
      <c r="B4" s="20"/>
      <c r="C4" s="20"/>
      <c r="D4" s="20"/>
      <c r="E4" s="20"/>
      <c r="F4" s="20"/>
      <c r="G4" s="20"/>
      <c r="H4" s="20"/>
      <c r="I4" s="20"/>
      <c r="J4" s="3"/>
      <c r="L4" s="19"/>
      <c r="M4" s="19"/>
      <c r="N4" s="19"/>
      <c r="O4" s="19"/>
      <c r="P4" s="19"/>
      <c r="Q4" s="19"/>
      <c r="R4" s="19"/>
      <c r="S4" s="19"/>
      <c r="T4" s="19"/>
      <c r="U4" s="19"/>
      <c r="V4" s="19"/>
      <c r="W4" s="19"/>
    </row>
    <row r="5" spans="1:23" ht="20" customHeight="1" x14ac:dyDescent="0.2">
      <c r="A5" s="3"/>
      <c r="B5" s="3"/>
      <c r="C5" s="3"/>
      <c r="D5" s="3"/>
      <c r="E5" s="3"/>
      <c r="F5" s="3"/>
      <c r="G5" s="3"/>
      <c r="H5" s="3"/>
      <c r="I5" s="3"/>
      <c r="J5" s="3"/>
      <c r="L5" s="19"/>
      <c r="M5" s="19"/>
      <c r="N5" s="19"/>
      <c r="O5" s="19"/>
      <c r="P5" s="19"/>
      <c r="Q5" s="19"/>
      <c r="R5" s="19"/>
      <c r="S5" s="19"/>
      <c r="T5" s="19"/>
      <c r="U5" s="19"/>
      <c r="V5" s="19"/>
      <c r="W5" s="19"/>
    </row>
    <row r="6" spans="1:23" ht="20" customHeight="1" x14ac:dyDescent="0.2">
      <c r="A6" s="5"/>
      <c r="B6" s="5"/>
      <c r="C6" s="5"/>
      <c r="D6" s="5"/>
      <c r="E6" s="5"/>
      <c r="F6" s="5"/>
      <c r="G6" s="5"/>
      <c r="H6" s="5"/>
      <c r="I6" s="5"/>
      <c r="L6" s="19"/>
      <c r="M6" s="19"/>
      <c r="N6" s="19"/>
      <c r="O6" s="19"/>
      <c r="P6" s="19"/>
      <c r="Q6" s="19"/>
      <c r="R6" s="19"/>
      <c r="S6" s="19"/>
      <c r="T6" s="19"/>
      <c r="U6" s="19"/>
      <c r="V6" s="19"/>
      <c r="W6" s="19"/>
    </row>
    <row r="7" spans="1:23" ht="20" customHeight="1" x14ac:dyDescent="0.2">
      <c r="A7" s="6" t="s">
        <v>9</v>
      </c>
      <c r="B7" s="7" t="s">
        <v>28</v>
      </c>
      <c r="C7" s="5"/>
      <c r="D7" s="5"/>
      <c r="E7" s="5"/>
      <c r="F7" s="5"/>
      <c r="G7" s="5"/>
      <c r="H7" s="5"/>
      <c r="I7" s="5"/>
    </row>
    <row r="8" spans="1:23" ht="20" customHeight="1" x14ac:dyDescent="0.25">
      <c r="A8" s="8" t="s">
        <v>0</v>
      </c>
      <c r="F8" s="8" t="s">
        <v>1</v>
      </c>
      <c r="J8" s="1"/>
      <c r="L8" s="8" t="s">
        <v>23</v>
      </c>
      <c r="R8" s="8" t="s">
        <v>16</v>
      </c>
    </row>
    <row r="9" spans="1:23" ht="20" customHeight="1" x14ac:dyDescent="0.25">
      <c r="A9" s="9" t="s">
        <v>2</v>
      </c>
      <c r="B9" s="9" t="s">
        <v>24</v>
      </c>
      <c r="C9" s="9" t="s">
        <v>25</v>
      </c>
      <c r="D9" s="9" t="s">
        <v>17</v>
      </c>
      <c r="E9" s="1"/>
      <c r="F9" s="9" t="s">
        <v>2</v>
      </c>
      <c r="G9" s="9" t="s">
        <v>24</v>
      </c>
      <c r="H9" s="9" t="s">
        <v>25</v>
      </c>
      <c r="I9" s="9" t="s">
        <v>17</v>
      </c>
      <c r="L9" s="1" t="s">
        <v>11</v>
      </c>
      <c r="N9" s="1" t="s">
        <v>12</v>
      </c>
      <c r="R9" s="1" t="s">
        <v>13</v>
      </c>
      <c r="T9" s="1" t="s">
        <v>12</v>
      </c>
    </row>
    <row r="10" spans="1:23" ht="20" customHeight="1" x14ac:dyDescent="0.2">
      <c r="A10" s="10">
        <v>5</v>
      </c>
      <c r="B10" s="10">
        <v>2.62</v>
      </c>
      <c r="C10" s="10">
        <v>2.61</v>
      </c>
      <c r="D10" s="10">
        <f>B10-C10</f>
        <v>1.0000000000000231E-2</v>
      </c>
      <c r="F10" s="10">
        <v>5</v>
      </c>
      <c r="G10" s="11">
        <v>2.64</v>
      </c>
      <c r="H10" s="11">
        <v>2.62</v>
      </c>
      <c r="I10" s="10">
        <f>G10-H10</f>
        <v>2.0000000000000018E-2</v>
      </c>
      <c r="L10" s="9"/>
      <c r="M10" s="9">
        <v>5</v>
      </c>
      <c r="N10" s="9">
        <v>10</v>
      </c>
      <c r="O10" s="9">
        <v>15</v>
      </c>
      <c r="P10" s="9">
        <v>20</v>
      </c>
      <c r="R10" s="9"/>
      <c r="S10" s="9">
        <v>5</v>
      </c>
      <c r="T10" s="9">
        <v>10</v>
      </c>
      <c r="U10" s="9">
        <v>15</v>
      </c>
      <c r="V10" s="9">
        <v>20</v>
      </c>
    </row>
    <row r="11" spans="1:23" ht="20" customHeight="1" x14ac:dyDescent="0.2">
      <c r="A11" s="10">
        <v>10</v>
      </c>
      <c r="B11" s="10">
        <v>2.66</v>
      </c>
      <c r="C11" s="10">
        <v>2.5</v>
      </c>
      <c r="D11" s="10">
        <f>B11-C11</f>
        <v>0.16000000000000014</v>
      </c>
      <c r="F11" s="10">
        <v>10</v>
      </c>
      <c r="G11" s="11">
        <v>2.65</v>
      </c>
      <c r="H11" s="11">
        <v>2.5</v>
      </c>
      <c r="I11" s="10">
        <f>G11-H11</f>
        <v>0.14999999999999991</v>
      </c>
      <c r="L11" s="10" t="s">
        <v>0</v>
      </c>
      <c r="M11" s="10">
        <v>0.01</v>
      </c>
      <c r="N11" s="10">
        <v>0.16</v>
      </c>
      <c r="O11" s="10">
        <v>0.12</v>
      </c>
      <c r="P11" s="10">
        <v>0.88</v>
      </c>
      <c r="R11" s="10" t="s">
        <v>0</v>
      </c>
      <c r="S11" s="10">
        <v>0.12</v>
      </c>
      <c r="T11" s="10">
        <v>0.53</v>
      </c>
      <c r="U11" s="10">
        <v>0.45</v>
      </c>
      <c r="V11" s="10">
        <v>0.56999999999999995</v>
      </c>
    </row>
    <row r="12" spans="1:23" ht="20" customHeight="1" x14ac:dyDescent="0.2">
      <c r="A12" s="10">
        <v>15</v>
      </c>
      <c r="B12" s="10">
        <v>2.66</v>
      </c>
      <c r="C12" s="10">
        <v>2.54</v>
      </c>
      <c r="D12" s="10">
        <f>B12-C12</f>
        <v>0.12000000000000011</v>
      </c>
      <c r="F12" s="10">
        <v>15</v>
      </c>
      <c r="G12" s="11">
        <v>2.66</v>
      </c>
      <c r="H12" s="11">
        <v>2.2799999999999998</v>
      </c>
      <c r="I12" s="10">
        <f>G12-H12</f>
        <v>0.38000000000000034</v>
      </c>
      <c r="L12" s="10" t="s">
        <v>1</v>
      </c>
      <c r="M12" s="10">
        <v>0.02</v>
      </c>
      <c r="N12" s="10">
        <v>0.15</v>
      </c>
      <c r="O12" s="10">
        <v>0.38</v>
      </c>
      <c r="P12" s="10">
        <v>0.3</v>
      </c>
      <c r="R12" s="10" t="s">
        <v>1</v>
      </c>
      <c r="S12" s="10">
        <v>0.15</v>
      </c>
      <c r="T12" s="10">
        <v>0.04</v>
      </c>
      <c r="U12" s="10">
        <v>0.51</v>
      </c>
      <c r="V12" s="10">
        <v>0.44</v>
      </c>
    </row>
    <row r="13" spans="1:23" ht="20" customHeight="1" x14ac:dyDescent="0.2">
      <c r="A13" s="10">
        <v>20</v>
      </c>
      <c r="B13" s="10">
        <v>2.65</v>
      </c>
      <c r="C13" s="10">
        <v>1.77</v>
      </c>
      <c r="D13" s="10">
        <f>B13-C13</f>
        <v>0.87999999999999989</v>
      </c>
      <c r="F13" s="10">
        <v>20</v>
      </c>
      <c r="G13" s="11">
        <v>2.66</v>
      </c>
      <c r="H13" s="11">
        <v>2.36</v>
      </c>
      <c r="I13" s="10">
        <f>G13-H13</f>
        <v>0.30000000000000027</v>
      </c>
      <c r="L13" s="10" t="s">
        <v>3</v>
      </c>
      <c r="M13" s="10">
        <v>0.2</v>
      </c>
      <c r="N13" s="10">
        <v>0.14000000000000001</v>
      </c>
      <c r="O13" s="10">
        <v>0.18</v>
      </c>
      <c r="P13" s="10">
        <v>0.41</v>
      </c>
      <c r="R13" s="10" t="s">
        <v>3</v>
      </c>
      <c r="S13" s="10">
        <v>0.27</v>
      </c>
      <c r="T13" s="10">
        <v>0.19</v>
      </c>
      <c r="U13" s="10">
        <v>0.24</v>
      </c>
      <c r="V13" s="10">
        <v>0.63</v>
      </c>
    </row>
    <row r="14" spans="1:23" ht="20" customHeight="1" x14ac:dyDescent="0.2">
      <c r="L14" s="10" t="s">
        <v>4</v>
      </c>
      <c r="M14" s="10">
        <v>0</v>
      </c>
      <c r="N14" s="10">
        <v>0.17</v>
      </c>
      <c r="O14" s="10">
        <v>0.22</v>
      </c>
      <c r="P14" s="10">
        <v>0.39</v>
      </c>
      <c r="R14" s="10" t="s">
        <v>4</v>
      </c>
      <c r="S14" s="10">
        <v>0.28999999999999998</v>
      </c>
      <c r="T14" s="10">
        <v>0.32</v>
      </c>
      <c r="U14" s="10">
        <v>0.46</v>
      </c>
      <c r="V14" s="10">
        <v>0.56000000000000005</v>
      </c>
    </row>
    <row r="15" spans="1:23" ht="20" customHeight="1" x14ac:dyDescent="0.2">
      <c r="A15" s="8" t="s">
        <v>3</v>
      </c>
      <c r="F15" s="8" t="s">
        <v>4</v>
      </c>
      <c r="J15" s="1"/>
    </row>
    <row r="16" spans="1:23" ht="20" customHeight="1" x14ac:dyDescent="0.25">
      <c r="A16" s="9" t="s">
        <v>2</v>
      </c>
      <c r="B16" s="9" t="s">
        <v>24</v>
      </c>
      <c r="C16" s="9" t="s">
        <v>25</v>
      </c>
      <c r="D16" s="9" t="s">
        <v>17</v>
      </c>
      <c r="E16" s="1"/>
      <c r="F16" s="9" t="s">
        <v>2</v>
      </c>
      <c r="G16" s="9" t="s">
        <v>24</v>
      </c>
      <c r="H16" s="9" t="s">
        <v>25</v>
      </c>
      <c r="I16" s="9" t="s">
        <v>17</v>
      </c>
      <c r="L16" s="19" t="s">
        <v>18</v>
      </c>
      <c r="M16" s="19"/>
      <c r="N16" s="19"/>
      <c r="O16" s="19"/>
      <c r="P16" s="19"/>
      <c r="Q16" s="19"/>
      <c r="R16" s="19"/>
      <c r="S16" s="19"/>
      <c r="T16" s="19"/>
      <c r="U16" s="19"/>
      <c r="V16" s="19"/>
      <c r="W16" s="12"/>
    </row>
    <row r="17" spans="1:23" ht="20" customHeight="1" x14ac:dyDescent="0.2">
      <c r="A17" s="10">
        <v>5</v>
      </c>
      <c r="B17" s="11">
        <v>2.67</v>
      </c>
      <c r="C17" s="11">
        <v>2.4700000000000002</v>
      </c>
      <c r="D17" s="10">
        <f>B17-C17</f>
        <v>0.19999999999999973</v>
      </c>
      <c r="F17" s="10">
        <v>5</v>
      </c>
      <c r="G17" s="11">
        <v>2.66</v>
      </c>
      <c r="H17" s="11">
        <v>2.66</v>
      </c>
      <c r="I17" s="10">
        <f>G17-H17</f>
        <v>0</v>
      </c>
      <c r="L17" s="19"/>
      <c r="M17" s="19"/>
      <c r="N17" s="19"/>
      <c r="O17" s="19"/>
      <c r="P17" s="19"/>
      <c r="Q17" s="19"/>
      <c r="R17" s="19"/>
      <c r="S17" s="19"/>
      <c r="T17" s="19"/>
      <c r="U17" s="19"/>
      <c r="V17" s="19"/>
      <c r="W17" s="12"/>
    </row>
    <row r="18" spans="1:23" ht="20" customHeight="1" x14ac:dyDescent="0.2">
      <c r="A18" s="10">
        <v>10</v>
      </c>
      <c r="B18" s="11">
        <v>2.65</v>
      </c>
      <c r="C18" s="11">
        <v>2.5099999999999998</v>
      </c>
      <c r="D18" s="10">
        <f>B18-C18</f>
        <v>0.14000000000000012</v>
      </c>
      <c r="F18" s="10">
        <v>10</v>
      </c>
      <c r="G18" s="11">
        <v>2.66</v>
      </c>
      <c r="H18" s="11">
        <v>2.4900000000000002</v>
      </c>
      <c r="I18" s="10">
        <f>G18-H18</f>
        <v>0.16999999999999993</v>
      </c>
      <c r="L18" s="12"/>
      <c r="M18" s="12"/>
      <c r="N18" s="12"/>
      <c r="O18" s="12"/>
      <c r="P18" s="12"/>
      <c r="Q18" s="12"/>
    </row>
    <row r="19" spans="1:23" ht="20" customHeight="1" x14ac:dyDescent="0.2">
      <c r="A19" s="10">
        <v>15</v>
      </c>
      <c r="B19" s="11">
        <v>2.65</v>
      </c>
      <c r="C19" s="11">
        <v>2.4700000000000002</v>
      </c>
      <c r="D19" s="10">
        <f>B19-C19</f>
        <v>0.17999999999999972</v>
      </c>
      <c r="F19" s="10">
        <v>15</v>
      </c>
      <c r="G19" s="11">
        <v>2.65</v>
      </c>
      <c r="H19" s="11">
        <f>AVERAGE(H12,C12,C19)</f>
        <v>2.4300000000000002</v>
      </c>
      <c r="I19" s="10">
        <f>G19-H19</f>
        <v>0.21999999999999975</v>
      </c>
      <c r="J19" s="2" t="s">
        <v>30</v>
      </c>
    </row>
    <row r="20" spans="1:23" ht="20" customHeight="1" x14ac:dyDescent="0.2">
      <c r="A20" s="10">
        <v>20</v>
      </c>
      <c r="B20" s="11">
        <v>2.66</v>
      </c>
      <c r="C20" s="11">
        <v>2.25</v>
      </c>
      <c r="D20" s="10">
        <f>B20-C20</f>
        <v>0.41000000000000014</v>
      </c>
      <c r="F20" s="10">
        <v>20</v>
      </c>
      <c r="G20" s="11">
        <v>2.65</v>
      </c>
      <c r="H20" s="11">
        <v>2.2599999999999998</v>
      </c>
      <c r="I20" s="10">
        <f>G20-H20</f>
        <v>0.39000000000000012</v>
      </c>
    </row>
    <row r="23" spans="1:23" ht="20" customHeight="1" x14ac:dyDescent="0.2">
      <c r="A23" s="6" t="s">
        <v>10</v>
      </c>
      <c r="B23" s="7" t="s">
        <v>29</v>
      </c>
      <c r="C23" s="5"/>
      <c r="D23" s="5"/>
      <c r="E23" s="5"/>
      <c r="F23" s="5"/>
      <c r="G23" s="5"/>
      <c r="H23" s="5"/>
      <c r="I23" s="5"/>
      <c r="K23" s="17"/>
    </row>
    <row r="24" spans="1:23" ht="20" customHeight="1" x14ac:dyDescent="0.2">
      <c r="A24" s="8" t="s">
        <v>0</v>
      </c>
      <c r="F24" s="8" t="s">
        <v>1</v>
      </c>
    </row>
    <row r="25" spans="1:23" ht="20" customHeight="1" x14ac:dyDescent="0.25">
      <c r="A25" s="9" t="s">
        <v>2</v>
      </c>
      <c r="B25" s="9" t="s">
        <v>24</v>
      </c>
      <c r="C25" s="9" t="s">
        <v>25</v>
      </c>
      <c r="D25" s="9" t="s">
        <v>17</v>
      </c>
      <c r="E25" s="1"/>
      <c r="F25" s="9" t="s">
        <v>2</v>
      </c>
      <c r="G25" s="9" t="s">
        <v>24</v>
      </c>
      <c r="H25" s="9" t="s">
        <v>25</v>
      </c>
      <c r="I25" s="9" t="s">
        <v>17</v>
      </c>
    </row>
    <row r="26" spans="1:23" ht="20" customHeight="1" x14ac:dyDescent="0.2">
      <c r="A26" s="10">
        <v>5</v>
      </c>
      <c r="B26" s="10">
        <v>2.62</v>
      </c>
      <c r="C26" s="10">
        <v>2.5</v>
      </c>
      <c r="D26" s="10">
        <f>B26-C26</f>
        <v>0.12000000000000011</v>
      </c>
      <c r="F26" s="10">
        <v>5</v>
      </c>
      <c r="G26" s="11">
        <v>2.63</v>
      </c>
      <c r="H26" s="11">
        <v>2.48</v>
      </c>
      <c r="I26" s="10">
        <f>G26-H26</f>
        <v>0.14999999999999991</v>
      </c>
    </row>
    <row r="27" spans="1:23" ht="20" customHeight="1" x14ac:dyDescent="0.2">
      <c r="A27" s="10">
        <v>10</v>
      </c>
      <c r="B27" s="10">
        <v>2.65</v>
      </c>
      <c r="C27" s="10">
        <v>2.12</v>
      </c>
      <c r="D27" s="10">
        <f>B27-C27</f>
        <v>0.5299999999999998</v>
      </c>
      <c r="F27" s="10">
        <v>10</v>
      </c>
      <c r="G27" s="11">
        <v>0.26300000000000001</v>
      </c>
      <c r="H27" s="11">
        <v>0.223</v>
      </c>
      <c r="I27" s="10">
        <f>G27-H27</f>
        <v>4.0000000000000008E-2</v>
      </c>
    </row>
    <row r="28" spans="1:23" ht="20" customHeight="1" x14ac:dyDescent="0.2">
      <c r="A28" s="10">
        <v>15</v>
      </c>
      <c r="B28" s="10">
        <v>2.65</v>
      </c>
      <c r="C28" s="10">
        <v>2.2000000000000002</v>
      </c>
      <c r="D28" s="10">
        <f>B28-C28</f>
        <v>0.44999999999999973</v>
      </c>
      <c r="F28" s="10">
        <v>15</v>
      </c>
      <c r="G28" s="11">
        <v>2.66</v>
      </c>
      <c r="H28" s="11">
        <v>2.15</v>
      </c>
      <c r="I28" s="10">
        <f>G28-H28</f>
        <v>0.51000000000000023</v>
      </c>
    </row>
    <row r="29" spans="1:23" ht="20" customHeight="1" x14ac:dyDescent="0.2">
      <c r="A29" s="10">
        <v>20</v>
      </c>
      <c r="B29" s="10">
        <v>2.66</v>
      </c>
      <c r="C29" s="10">
        <v>2.09</v>
      </c>
      <c r="D29" s="10">
        <f>B29-C29</f>
        <v>0.57000000000000028</v>
      </c>
      <c r="F29" s="10">
        <v>20</v>
      </c>
      <c r="G29" s="11">
        <v>2.64</v>
      </c>
      <c r="H29" s="11">
        <v>2.2000000000000002</v>
      </c>
      <c r="I29" s="10">
        <f>G29-H29</f>
        <v>0.43999999999999995</v>
      </c>
    </row>
    <row r="31" spans="1:23" ht="20" customHeight="1" x14ac:dyDescent="0.2">
      <c r="A31" s="8" t="s">
        <v>3</v>
      </c>
      <c r="F31" s="8" t="s">
        <v>4</v>
      </c>
    </row>
    <row r="32" spans="1:23" ht="20" customHeight="1" x14ac:dyDescent="0.25">
      <c r="A32" s="9" t="s">
        <v>2</v>
      </c>
      <c r="B32" s="9" t="s">
        <v>24</v>
      </c>
      <c r="C32" s="9" t="s">
        <v>25</v>
      </c>
      <c r="D32" s="9" t="s">
        <v>17</v>
      </c>
      <c r="E32" s="1"/>
      <c r="F32" s="9" t="s">
        <v>2</v>
      </c>
      <c r="G32" s="9" t="s">
        <v>24</v>
      </c>
      <c r="H32" s="9" t="s">
        <v>25</v>
      </c>
      <c r="I32" s="9" t="s">
        <v>17</v>
      </c>
    </row>
    <row r="33" spans="1:9" ht="20" customHeight="1" x14ac:dyDescent="0.2">
      <c r="A33" s="10">
        <v>5</v>
      </c>
      <c r="B33" s="11">
        <v>2.67</v>
      </c>
      <c r="C33" s="11">
        <v>2.4</v>
      </c>
      <c r="D33" s="10">
        <f>B33-C33</f>
        <v>0.27</v>
      </c>
      <c r="F33" s="10">
        <v>5</v>
      </c>
      <c r="G33" s="11">
        <v>2.68</v>
      </c>
      <c r="H33" s="11">
        <v>2.39</v>
      </c>
      <c r="I33" s="10">
        <f>G33-H33</f>
        <v>0.29000000000000004</v>
      </c>
    </row>
    <row r="34" spans="1:9" ht="20" customHeight="1" x14ac:dyDescent="0.2">
      <c r="A34" s="10">
        <v>10</v>
      </c>
      <c r="B34" s="11">
        <v>2.65</v>
      </c>
      <c r="C34" s="11">
        <v>2.46</v>
      </c>
      <c r="D34" s="10">
        <f>B34-C34</f>
        <v>0.18999999999999995</v>
      </c>
      <c r="F34" s="10">
        <v>10</v>
      </c>
      <c r="G34" s="11">
        <v>2.64</v>
      </c>
      <c r="H34" s="11">
        <v>2.3199999999999998</v>
      </c>
      <c r="I34" s="10">
        <f>G34-H34</f>
        <v>0.32000000000000028</v>
      </c>
    </row>
    <row r="35" spans="1:9" ht="20" customHeight="1" x14ac:dyDescent="0.2">
      <c r="A35" s="10">
        <v>15</v>
      </c>
      <c r="B35" s="11">
        <v>2.63</v>
      </c>
      <c r="C35" s="11">
        <v>2.39</v>
      </c>
      <c r="D35" s="10">
        <f>B35-C35</f>
        <v>0.23999999999999977</v>
      </c>
      <c r="F35" s="10">
        <v>15</v>
      </c>
      <c r="G35" s="11">
        <v>2.63</v>
      </c>
      <c r="H35" s="11">
        <v>2.17</v>
      </c>
      <c r="I35" s="10">
        <f>G35-H35</f>
        <v>0.45999999999999996</v>
      </c>
    </row>
    <row r="36" spans="1:9" ht="20" customHeight="1" x14ac:dyDescent="0.2">
      <c r="A36" s="10">
        <v>20</v>
      </c>
      <c r="B36" s="11">
        <v>2.65</v>
      </c>
      <c r="C36" s="11">
        <v>2.02</v>
      </c>
      <c r="D36" s="10">
        <f>B36-C36</f>
        <v>0.62999999999999989</v>
      </c>
      <c r="F36" s="10">
        <v>20</v>
      </c>
      <c r="G36" s="11">
        <v>2.66</v>
      </c>
      <c r="H36" s="11">
        <v>2.1</v>
      </c>
      <c r="I36" s="10">
        <f>G36-H36</f>
        <v>0.56000000000000005</v>
      </c>
    </row>
  </sheetData>
  <mergeCells count="3">
    <mergeCell ref="L3:W6"/>
    <mergeCell ref="L16:V17"/>
    <mergeCell ref="A2: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tabSelected="1" zoomScale="125" workbookViewId="0">
      <selection activeCell="G9" sqref="G9"/>
    </sheetView>
  </sheetViews>
  <sheetFormatPr baseColWidth="10" defaultColWidth="8.83203125" defaultRowHeight="20" customHeight="1" x14ac:dyDescent="0.2"/>
  <cols>
    <col min="1" max="1" width="13.6640625" style="2" customWidth="1"/>
    <col min="2" max="2" width="16.5" style="2" customWidth="1"/>
    <col min="3" max="4" width="22.6640625" style="2" customWidth="1"/>
    <col min="5" max="5" width="8.83203125" style="2"/>
    <col min="6" max="6" width="24.5" style="2" customWidth="1"/>
    <col min="7" max="7" width="33.6640625" style="2" customWidth="1"/>
    <col min="8" max="8" width="9.6640625" style="2" customWidth="1"/>
    <col min="9" max="16384" width="8.83203125" style="2"/>
  </cols>
  <sheetData>
    <row r="1" spans="1:9" ht="20" customHeight="1" x14ac:dyDescent="0.2">
      <c r="A1" s="19" t="s">
        <v>27</v>
      </c>
      <c r="B1" s="19"/>
      <c r="C1" s="19"/>
      <c r="D1" s="19"/>
      <c r="E1" s="19"/>
      <c r="F1" s="19"/>
      <c r="G1" s="13"/>
    </row>
    <row r="2" spans="1:9" ht="20" customHeight="1" x14ac:dyDescent="0.2">
      <c r="A2" s="19"/>
      <c r="B2" s="19"/>
      <c r="C2" s="19"/>
      <c r="D2" s="19"/>
      <c r="E2" s="19"/>
      <c r="F2" s="19"/>
      <c r="G2" s="13"/>
    </row>
    <row r="4" spans="1:9" ht="20" customHeight="1" x14ac:dyDescent="0.25">
      <c r="A4" s="8" t="s">
        <v>19</v>
      </c>
      <c r="C4" s="1"/>
    </row>
    <row r="5" spans="1:9" ht="20" customHeight="1" x14ac:dyDescent="0.2">
      <c r="A5" s="9"/>
      <c r="B5" s="9" t="s">
        <v>8</v>
      </c>
      <c r="C5" s="9" t="s">
        <v>31</v>
      </c>
      <c r="D5" s="9" t="s">
        <v>32</v>
      </c>
      <c r="F5" s="20" t="s">
        <v>20</v>
      </c>
      <c r="G5" s="20"/>
      <c r="H5" s="20"/>
      <c r="I5" s="4"/>
    </row>
    <row r="6" spans="1:9" ht="20" customHeight="1" x14ac:dyDescent="0.2">
      <c r="A6" s="10" t="s">
        <v>0</v>
      </c>
      <c r="B6">
        <v>2.0500000000000001E-2</v>
      </c>
      <c r="C6" s="18">
        <v>2.81E-2</v>
      </c>
      <c r="D6" s="10">
        <v>3.2099999999999997E-2</v>
      </c>
      <c r="F6" s="20"/>
      <c r="G6" s="20"/>
      <c r="H6" s="20"/>
      <c r="I6" s="4"/>
    </row>
    <row r="7" spans="1:9" ht="20" customHeight="1" x14ac:dyDescent="0.2">
      <c r="A7" s="10" t="s">
        <v>1</v>
      </c>
      <c r="B7" s="10">
        <v>1.9599999999999999E-2</v>
      </c>
      <c r="C7" s="18">
        <v>1.77E-2</v>
      </c>
      <c r="D7" s="10">
        <v>2.35E-2</v>
      </c>
      <c r="F7" s="20"/>
      <c r="G7" s="20"/>
      <c r="H7" s="20"/>
      <c r="I7" s="4"/>
    </row>
    <row r="8" spans="1:9" ht="20" customHeight="1" x14ac:dyDescent="0.2">
      <c r="A8" s="10" t="s">
        <v>3</v>
      </c>
      <c r="B8" s="10">
        <v>1.9300000000000001E-2</v>
      </c>
      <c r="C8" s="18">
        <v>1.77E-2</v>
      </c>
      <c r="D8" s="10">
        <v>2.5899999999999999E-2</v>
      </c>
    </row>
    <row r="9" spans="1:9" ht="20" customHeight="1" x14ac:dyDescent="0.25">
      <c r="A9" s="10" t="s">
        <v>4</v>
      </c>
      <c r="B9" s="10">
        <v>1.9099999999999999E-2</v>
      </c>
      <c r="C9" s="18">
        <v>1.7100000000000001E-2</v>
      </c>
      <c r="D9" s="10">
        <v>3.0300000000000001E-2</v>
      </c>
      <c r="F9" s="9"/>
      <c r="G9" s="9" t="s">
        <v>21</v>
      </c>
      <c r="H9" s="9" t="s">
        <v>6</v>
      </c>
    </row>
    <row r="10" spans="1:9" ht="20" customHeight="1" x14ac:dyDescent="0.2">
      <c r="A10" s="14" t="s">
        <v>5</v>
      </c>
      <c r="B10" s="11">
        <f>AVERAGE(B6:B9)</f>
        <v>1.9624999999999997E-2</v>
      </c>
      <c r="C10" s="11">
        <f>AVERAGE(C6:C9)</f>
        <v>2.0150000000000001E-2</v>
      </c>
      <c r="D10" s="11">
        <f>AVERAGE(D6:D9)</f>
        <v>2.7949999999999996E-2</v>
      </c>
      <c r="F10" s="10" t="s">
        <v>8</v>
      </c>
      <c r="G10" s="11">
        <v>0.02</v>
      </c>
      <c r="H10" s="11">
        <v>1E-3</v>
      </c>
    </row>
    <row r="11" spans="1:9" ht="20" customHeight="1" x14ac:dyDescent="0.2">
      <c r="A11" s="14" t="s">
        <v>6</v>
      </c>
      <c r="B11" s="11">
        <f>_xlfn.STDEV.P(B6:B9)</f>
        <v>5.3560713214071418E-4</v>
      </c>
      <c r="C11" s="11">
        <f>_xlfn.STDEV.P(C6:C9)</f>
        <v>4.5964660338133597E-3</v>
      </c>
      <c r="D11" s="11">
        <f>_xlfn.STDEV.P(D6:D9)</f>
        <v>3.4186985827943349E-3</v>
      </c>
      <c r="F11" s="10" t="s">
        <v>31</v>
      </c>
      <c r="G11" s="11">
        <v>0.02</v>
      </c>
      <c r="H11" s="11">
        <v>5.0000000000000001E-3</v>
      </c>
    </row>
    <row r="12" spans="1:9" ht="20" customHeight="1" x14ac:dyDescent="0.2">
      <c r="A12" s="14" t="s">
        <v>7</v>
      </c>
      <c r="B12" s="16"/>
      <c r="C12" s="15">
        <f>_xlfn.T.TEST(C6:C9,B6:B9,1,1)</f>
        <v>0.41911660424008312</v>
      </c>
      <c r="D12" s="15">
        <f>_xlfn.T.TEST(D6:D9,B6:B9,1,1)</f>
        <v>1.0405513615772499E-2</v>
      </c>
      <c r="F12" s="10" t="s">
        <v>32</v>
      </c>
      <c r="G12" s="11">
        <v>2.8000000000000001E-2</v>
      </c>
      <c r="H12" s="11">
        <v>3.0000000000000001E-3</v>
      </c>
    </row>
    <row r="14" spans="1:9" ht="20" customHeight="1" x14ac:dyDescent="0.2">
      <c r="A14" s="20" t="s">
        <v>22</v>
      </c>
      <c r="B14" s="20"/>
      <c r="C14" s="20"/>
      <c r="D14" s="20"/>
    </row>
    <row r="15" spans="1:9" ht="20" customHeight="1" x14ac:dyDescent="0.2">
      <c r="A15" s="20"/>
      <c r="B15" s="20"/>
      <c r="C15" s="20"/>
      <c r="D15" s="20"/>
    </row>
    <row r="16" spans="1:9" ht="20" customHeight="1" x14ac:dyDescent="0.2">
      <c r="A16" s="20"/>
      <c r="B16" s="20"/>
      <c r="C16" s="20"/>
      <c r="D16" s="20"/>
    </row>
    <row r="17" spans="1:4" ht="20" customHeight="1" x14ac:dyDescent="0.2">
      <c r="A17" s="20"/>
      <c r="B17" s="20"/>
      <c r="C17" s="20"/>
      <c r="D17" s="20"/>
    </row>
  </sheetData>
  <mergeCells count="3">
    <mergeCell ref="A14:D17"/>
    <mergeCell ref="F5:H7"/>
    <mergeCell ref="A1:F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Charts</vt:lpstr>
      </vt:variant>
      <vt:variant>
        <vt:i4>3</vt:i4>
      </vt:variant>
    </vt:vector>
  </HeadingPairs>
  <TitlesOfParts>
    <vt:vector size="5" baseType="lpstr">
      <vt:lpstr>Raw Data</vt:lpstr>
      <vt:lpstr>Averages and T-Tests</vt:lpstr>
      <vt:lpstr>Chart1</vt:lpstr>
      <vt:lpstr>Chart2</vt:lpstr>
      <vt:lpstr>Chart3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dc:creator>
  <cp:lastModifiedBy>Ewan Pedersen</cp:lastModifiedBy>
  <dcterms:created xsi:type="dcterms:W3CDTF">2020-08-04T03:13:47Z</dcterms:created>
  <dcterms:modified xsi:type="dcterms:W3CDTF">2025-10-24T12:08:52Z</dcterms:modified>
</cp:coreProperties>
</file>