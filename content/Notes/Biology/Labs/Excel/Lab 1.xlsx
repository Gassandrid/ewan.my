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ssandrid/VAULT/Notes/Biology/Labs/Excel/"/>
    </mc:Choice>
  </mc:AlternateContent>
  <xr:revisionPtr revIDLastSave="0" documentId="13_ncr:1_{E8E92522-17B3-7044-83E1-BD639D419FFB}" xr6:coauthVersionLast="47" xr6:coauthVersionMax="47" xr10:uidLastSave="{00000000-0000-0000-0000-000000000000}"/>
  <bookViews>
    <workbookView xWindow="60" yWindow="740" windowWidth="34440" windowHeight="21540" activeTab="2" xr2:uid="{16F632E2-7B1C-374A-AA6C-9F513062A785}"/>
  </bookViews>
  <sheets>
    <sheet name="Chart1" sheetId="3" r:id="rId1"/>
    <sheet name="Chart2" sheetId="4" r:id="rId2"/>
    <sheet name="Sheet2" sheetId="5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9" i="1"/>
  <c r="F15" i="1"/>
  <c r="E15" i="1"/>
  <c r="C15" i="1"/>
  <c r="B15" i="1"/>
  <c r="F14" i="1"/>
  <c r="E14" i="1"/>
  <c r="G5" i="1" s="1"/>
  <c r="C14" i="1"/>
  <c r="G4" i="1"/>
  <c r="B14" i="1"/>
  <c r="H6" i="1"/>
  <c r="H5" i="1"/>
  <c r="H4" i="1"/>
  <c r="H3" i="1"/>
  <c r="H2" i="1"/>
  <c r="G6" i="1"/>
  <c r="G3" i="1"/>
  <c r="G2" i="1"/>
</calcChain>
</file>

<file path=xl/sharedStrings.xml><?xml version="1.0" encoding="utf-8"?>
<sst xmlns="http://schemas.openxmlformats.org/spreadsheetml/2006/main" count="28" uniqueCount="26">
  <si>
    <t>Standard Deviation</t>
  </si>
  <si>
    <t>Container A</t>
  </si>
  <si>
    <t>Container B</t>
  </si>
  <si>
    <t>Container D</t>
  </si>
  <si>
    <t>Container E</t>
  </si>
  <si>
    <t>Nicely's Vanilla Bean</t>
  </si>
  <si>
    <t>Contalner C</t>
  </si>
  <si>
    <t>AVERAGE</t>
  </si>
  <si>
    <t>STANDARD DEVIATION</t>
  </si>
  <si>
    <t>Jen &amp; Barry's Vanilla</t>
  </si>
  <si>
    <t>Huggen-Doze Vanilla Bean</t>
  </si>
  <si>
    <t>Reyber's Natural Vanilla</t>
  </si>
  <si>
    <t>Chicken Mountain</t>
  </si>
  <si>
    <t>Company</t>
  </si>
  <si>
    <t>T-Test: Huggen-Doze vs Reyber's</t>
  </si>
  <si>
    <t>p-value =</t>
  </si>
  <si>
    <t>T-Test: Nicely's vs Chicken Mountain</t>
  </si>
  <si>
    <t>Average Ice Cream Overrun (%)</t>
  </si>
  <si>
    <t>Huggen-Doze</t>
  </si>
  <si>
    <t>Reyber's</t>
  </si>
  <si>
    <t>Nicely's</t>
  </si>
  <si>
    <t>Weight of Melted Ice Cream (grams)</t>
  </si>
  <si>
    <t>Time (minutes)</t>
  </si>
  <si>
    <t>Trial #1</t>
  </si>
  <si>
    <t>Trial #2</t>
  </si>
  <si>
    <t>Trial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</si>
</sst>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"/>
    <numFmt numFmtId="169" formatCode="0.0000"/>
    <numFmt numFmtId="170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8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169" fontId="1" fillId="0" borderId="0" xfId="0" applyNumberFormat="1" applyFont="1"/>
    <xf numFmtId="170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Sheet1!$H$2:$H$6</c:f>
                <c:numCache>
                  <c:formatCode>General</c:formatCode>
                  <c:ptCount val="5"/>
                  <c:pt idx="0">
                    <c:v>4.2636134909252528</c:v>
                  </c:pt>
                  <c:pt idx="1">
                    <c:v>2.7586953438174353</c:v>
                  </c:pt>
                  <c:pt idx="2">
                    <c:v>1.9189580506097561</c:v>
                  </c:pt>
                  <c:pt idx="3">
                    <c:v>3.6881431642494609</c:v>
                  </c:pt>
                  <c:pt idx="4">
                    <c:v>4.0603448129438471</c:v>
                  </c:pt>
                </c:numCache>
              </c:numRef>
            </c:plus>
            <c:minus>
              <c:numRef>
                <c:f>Sheet1!$H$2:$H$6</c:f>
                <c:numCache>
                  <c:formatCode>General</c:formatCode>
                  <c:ptCount val="5"/>
                  <c:pt idx="0">
                    <c:v>4.2636134909252528</c:v>
                  </c:pt>
                  <c:pt idx="1">
                    <c:v>2.7586953438174353</c:v>
                  </c:pt>
                  <c:pt idx="2">
                    <c:v>1.9189580506097561</c:v>
                  </c:pt>
                  <c:pt idx="3">
                    <c:v>3.6881431642494609</c:v>
                  </c:pt>
                  <c:pt idx="4">
                    <c:v>4.0603448129438471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Sheet1!$A$2:$A$6</c:f>
              <c:strCache>
                <c:ptCount val="5"/>
                <c:pt idx="0">
                  <c:v>Jen &amp; Barry's Vanilla</c:v>
                </c:pt>
                <c:pt idx="1">
                  <c:v>Huggen-Doze Vanilla Bean</c:v>
                </c:pt>
                <c:pt idx="2">
                  <c:v>Reyber's Natural Vanilla</c:v>
                </c:pt>
                <c:pt idx="3">
                  <c:v>Nicely's Vanilla Bean</c:v>
                </c:pt>
                <c:pt idx="4">
                  <c:v>Chicken Mountain</c:v>
                </c:pt>
              </c:strCache>
            </c:strRef>
          </c:cat>
          <c:val>
            <c:numRef>
              <c:f>Sheet1!$G$2:$G$6</c:f>
              <c:numCache>
                <c:formatCode>0.0</c:formatCode>
                <c:ptCount val="5"/>
                <c:pt idx="0">
                  <c:v>32.86</c:v>
                </c:pt>
                <c:pt idx="1">
                  <c:v>37.46</c:v>
                </c:pt>
                <c:pt idx="2">
                  <c:v>43.44</c:v>
                </c:pt>
                <c:pt idx="3">
                  <c:v>90.66</c:v>
                </c:pt>
                <c:pt idx="4">
                  <c:v>95.460000000000008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4-B14A-A43E-2B183F3CF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596416"/>
        <c:axId val="1606044288"/>
      </c:barChart>
      <c:catAx>
        <c:axId val="160559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044288"/>
        <c:crosses val="autoZero"/>
        <c:auto val="1"/>
        <c:lblAlgn val="ctr"/>
        <c:lblOffset val="100"/>
        <c:noMultiLvlLbl val="0"/>
      </c:catAx>
      <c:valAx>
        <c:axId val="160604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Overun(%)</a:t>
                </a:r>
                <a:endParaRPr lang="en-US"/>
              </a:p>
            </c:rich>
          </c:tx>
          <c:overlay val="0"/>
          <c:spPr>
            <a:noFill/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596416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Sheet1!$A$14</c:f>
              <c:strCache>
                <c:ptCount val="1"/>
                <c:pt idx="0">
                  <c:v>Average Ice Cream Overrun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Sheet1!$B$15:$F$15</c:f>
                <c:numCache>
                  <c:formatCode>General</c:formatCode>
                  <c:ptCount val="5"/>
                  <c:pt idx="0">
                    <c:v>2.7586953438174353</c:v>
                  </c:pt>
                  <c:pt idx="1">
                    <c:v>1.9189580506097561</c:v>
                  </c:pt>
                  <c:pt idx="3">
                    <c:v>3.6881431642494609</c:v>
                  </c:pt>
                  <c:pt idx="4">
                    <c:v>4.0603448129438471</c:v>
                  </c:pt>
                </c:numCache>
              </c:numRef>
            </c:plus>
            <c:minus>
              <c:numRef>
                <c:f>Sheet1!$B$15:$F$15</c:f>
                <c:numCache>
                  <c:formatCode>General</c:formatCode>
                  <c:ptCount val="5"/>
                  <c:pt idx="0">
                    <c:v>2.7586953438174353</c:v>
                  </c:pt>
                  <c:pt idx="1">
                    <c:v>1.9189580506097561</c:v>
                  </c:pt>
                  <c:pt idx="3">
                    <c:v>3.6881431642494609</c:v>
                  </c:pt>
                  <c:pt idx="4">
                    <c:v>4.0603448129438471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Sheet1!$B$13:$F$13</c:f>
              <c:strCache>
                <c:ptCount val="5"/>
                <c:pt idx="0">
                  <c:v>Huggen-Doze</c:v>
                </c:pt>
                <c:pt idx="1">
                  <c:v>Reyber's</c:v>
                </c:pt>
                <c:pt idx="3">
                  <c:v>Nicely's</c:v>
                </c:pt>
                <c:pt idx="4">
                  <c:v>Chicken Mountain</c:v>
                </c:pt>
              </c:strCache>
            </c:strRef>
          </c:cat>
          <c:val>
            <c:numRef>
              <c:f>Sheet1!$B$14:$F$14</c:f>
              <c:numCache>
                <c:formatCode>0.0</c:formatCode>
                <c:ptCount val="5"/>
                <c:pt idx="0">
                  <c:v>37.46</c:v>
                </c:pt>
                <c:pt idx="1">
                  <c:v>43.44</c:v>
                </c:pt>
                <c:pt idx="3">
                  <c:v>90.66</c:v>
                </c:pt>
                <c:pt idx="4">
                  <c:v>95.460000000000008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E-7848-A4B8-ACF13EE2A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899504"/>
        <c:axId val="1530791216"/>
      </c:barChart>
      <c:catAx>
        <c:axId val="160389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791216"/>
        <c:crosses val="autoZero"/>
        <c:auto val="1"/>
        <c:lblAlgn val="ctr"/>
        <c:lblOffset val="100"/>
        <c:noMultiLvlLbl val="0"/>
      </c:catAx>
      <c:valAx>
        <c:axId val="153079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</a:t>
                </a:r>
                <a:r>
                  <a:rPr lang="en-US" b="1" baseline="0"/>
                  <a:t> Ice Cream Overrun(%)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899504"/>
        <c:crosses val="autoZero"/>
        <c:crossBetween val="between"/>
      </c:valAx>
      <c:spPr>
        <a:noFill/>
        <a:ln w="25400"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Sheet2!$B$3:$G$3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Sheet2!$B$4:$G$4</c:f>
              <c:numCache>
                <c:formatCode>General</c:formatCode>
                <c:ptCount val="6"/>
                <c:pt idx="0">
                  <c:v>1.94</c:v>
                </c:pt>
                <c:pt idx="1">
                  <c:v>4.12</c:v>
                </c:pt>
                <c:pt idx="2">
                  <c:v>6.55</c:v>
                </c:pt>
                <c:pt idx="3">
                  <c:v>8.7899999999999991</c:v>
                </c:pt>
                <c:pt idx="4">
                  <c:v>11.12</c:v>
                </c:pt>
                <c:pt idx="5">
                  <c:v>12.23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D0-E548-9EF7-4DBDAF8346F3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Sheet2!$B$3:$G$3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Sheet2!$B$5:$G$5</c:f>
              <c:numCache>
                <c:formatCode>General</c:formatCode>
                <c:ptCount val="6"/>
                <c:pt idx="0">
                  <c:v>0.79</c:v>
                </c:pt>
                <c:pt idx="1">
                  <c:v>3.41</c:v>
                </c:pt>
                <c:pt idx="2">
                  <c:v>5.48</c:v>
                </c:pt>
                <c:pt idx="3">
                  <c:v>8.33</c:v>
                </c:pt>
                <c:pt idx="4">
                  <c:v>10.16</c:v>
                </c:pt>
                <c:pt idx="5">
                  <c:v>11.56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D0-E548-9EF7-4DBDAF8346F3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Sheet2!$B$3:$G$3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Sheet2!$B$6:$G$6</c:f>
              <c:numCache>
                <c:formatCode>General</c:formatCode>
                <c:ptCount val="6"/>
                <c:pt idx="0">
                  <c:v>2.82</c:v>
                </c:pt>
                <c:pt idx="1">
                  <c:v>5.46</c:v>
                </c:pt>
                <c:pt idx="2">
                  <c:v>7.58</c:v>
                </c:pt>
                <c:pt idx="3">
                  <c:v>9.93</c:v>
                </c:pt>
                <c:pt idx="4">
                  <c:v>11.88</c:v>
                </c:pt>
                <c:pt idx="5">
                  <c:v>13.41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D0-E548-9EF7-4DBDAF834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824992"/>
        <c:axId val="608826704"/>
      </c:scatterChart>
      <c:valAx>
        <c:axId val="60882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826704"/>
        <c:crosses val="autoZero"/>
        <c:crossBetween val="midCat"/>
      </c:valAx>
      <c:valAx>
        <c:axId val="60882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824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BE8911-4A9D-5542-8075-67DE5BB2A3C8}">
  <sheetPr/>
  <sheetViews>
    <sheetView zoomScale="16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063B043-B702-BC4F-83A5-4CC869FF2D26}">
  <sheetPr/>
  <sheetViews>
    <sheetView zoomScale="16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774" cy="628196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85B203-0F93-4133-FC45-DB0C233D60A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0774" cy="628196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94F415-608C-1313-4F73-8CF54C00FF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428074</xdr:colOff>
      <xdr:row>7</xdr:row>
      <xdr:rowOff>158285</xdr:rowOff>
    </xdr:from>
    <xdr:to>
      <xdr:col>6</xdr:col>
      <xdr:colOff>57371</xdr:colOff>
      <xdr:row>21</xdr:row>
      <xdr:rowOff>86890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FB373B-C041-F8E4-5D12-D4DAE5600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606A-3066-9E45-98A0-2DBA9F19BD8B}">
  <dimension ref="A2:G6"/>
  <sheetViews>
    <sheetView tabSelected="1" topLeftCell="A3" zoomScale="259" workbookViewId="0">
      <selection activeCell="G13" sqref="G13"/>
    </sheetView>
  </sheetViews>
  <sheetFormatPr baseColWidth="10" defaultRowHeight="16" x14ac:dyDescent="0.2"/>
  <sheetData>
    <row r="2" spans="1:7" x14ac:dyDescent="0.2">
      <c r="A2" s="4" t="s">
        <v>21</v>
      </c>
    </row>
    <row r="3" spans="1:7" x14ac:dyDescent="0.2">
      <c r="A3" s="4" t="s">
        <v>22</v>
      </c>
      <c r="B3" s="4">
        <v>10</v>
      </c>
      <c r="C3" s="4">
        <v>20</v>
      </c>
      <c r="D3" s="4">
        <v>30</v>
      </c>
      <c r="E3" s="4">
        <v>40</v>
      </c>
      <c r="F3" s="4">
        <v>50</v>
      </c>
      <c r="G3" s="4">
        <v>60</v>
      </c>
    </row>
    <row r="4" spans="1:7" x14ac:dyDescent="0.2">
      <c r="A4" s="1" t="s">
        <v>23</v>
      </c>
      <c r="B4" s="1">
        <v>1.94</v>
      </c>
      <c r="C4" s="1">
        <v>4.12</v>
      </c>
      <c r="D4" s="1">
        <v>6.55</v>
      </c>
      <c r="E4" s="1">
        <v>8.7899999999999991</v>
      </c>
      <c r="F4" s="1">
        <v>11.12</v>
      </c>
      <c r="G4" s="1">
        <v>12.23</v>
      </c>
    </row>
    <row r="5" spans="1:7" x14ac:dyDescent="0.2">
      <c r="A5" s="1" t="s">
        <v>24</v>
      </c>
      <c r="B5" s="1">
        <v>0.79</v>
      </c>
      <c r="C5" s="1">
        <v>3.41</v>
      </c>
      <c r="D5" s="1">
        <v>5.48</v>
      </c>
      <c r="E5" s="1">
        <v>8.33</v>
      </c>
      <c r="F5" s="1">
        <v>10.16</v>
      </c>
      <c r="G5" s="1">
        <v>11.56</v>
      </c>
    </row>
    <row r="6" spans="1:7" x14ac:dyDescent="0.2">
      <c r="A6" s="1" t="s">
        <v>25</v>
      </c>
      <c r="B6" s="1">
        <v>2.82</v>
      </c>
      <c r="C6" s="1">
        <v>5.46</v>
      </c>
      <c r="D6" s="1">
        <v>7.58</v>
      </c>
      <c r="E6" s="1">
        <v>9.93</v>
      </c>
      <c r="F6" s="1">
        <v>11.88</v>
      </c>
      <c r="G6" s="1">
        <v>13.41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29BE-EB3E-2A48-B03F-A8330CE59DDF}">
  <dimension ref="A1:I15"/>
  <sheetViews>
    <sheetView topLeftCell="A12" zoomScale="207" workbookViewId="0">
      <selection activeCell="F20" sqref="F20"/>
    </sheetView>
  </sheetViews>
  <sheetFormatPr baseColWidth="10" defaultRowHeight="16" x14ac:dyDescent="0.2"/>
  <cols>
    <col min="1" max="1" width="29.5" customWidth="1"/>
    <col min="2" max="3" width="12.83203125" customWidth="1"/>
    <col min="4" max="4" width="13.33203125" customWidth="1"/>
    <col min="5" max="5" width="13.5" customWidth="1"/>
    <col min="6" max="6" width="16.1640625" customWidth="1"/>
    <col min="8" max="8" width="23" customWidth="1"/>
  </cols>
  <sheetData>
    <row r="1" spans="1:9" x14ac:dyDescent="0.2">
      <c r="A1" s="4" t="s">
        <v>13</v>
      </c>
      <c r="B1" s="4" t="s">
        <v>1</v>
      </c>
      <c r="C1" s="4" t="s">
        <v>2</v>
      </c>
      <c r="D1" s="4" t="s">
        <v>6</v>
      </c>
      <c r="E1" s="4" t="s">
        <v>3</v>
      </c>
      <c r="F1" s="4" t="s">
        <v>4</v>
      </c>
      <c r="G1" s="4" t="s">
        <v>7</v>
      </c>
      <c r="H1" s="4" t="s">
        <v>8</v>
      </c>
    </row>
    <row r="2" spans="1:9" x14ac:dyDescent="0.2">
      <c r="A2" s="1" t="s">
        <v>9</v>
      </c>
      <c r="B2" s="1">
        <v>29.8</v>
      </c>
      <c r="C2" s="1">
        <v>36.299999999999997</v>
      </c>
      <c r="D2" s="1">
        <v>32.6</v>
      </c>
      <c r="E2" s="1">
        <v>26.9</v>
      </c>
      <c r="F2" s="1">
        <v>38.700000000000003</v>
      </c>
      <c r="G2" s="2">
        <f>AVERAGE(B2:F2)</f>
        <v>32.86</v>
      </c>
      <c r="H2" s="3">
        <f>_xlfn.STDEV.P(B2:F2)</f>
        <v>4.2636134909252528</v>
      </c>
    </row>
    <row r="3" spans="1:9" x14ac:dyDescent="0.2">
      <c r="A3" s="1" t="s">
        <v>10</v>
      </c>
      <c r="B3" s="1">
        <v>36.799999999999997</v>
      </c>
      <c r="C3" s="1">
        <v>41.3</v>
      </c>
      <c r="D3" s="1">
        <v>33.9</v>
      </c>
      <c r="E3" s="1">
        <v>39.9</v>
      </c>
      <c r="F3" s="1">
        <v>35.4</v>
      </c>
      <c r="G3" s="2">
        <f t="shared" ref="G3:G6" si="0">AVERAGE(B3:F3)</f>
        <v>37.46</v>
      </c>
      <c r="H3" s="3">
        <f t="shared" ref="H3:H6" si="1">_xlfn.STDEV.P(B3:F3)</f>
        <v>2.7586953438174353</v>
      </c>
    </row>
    <row r="4" spans="1:9" x14ac:dyDescent="0.2">
      <c r="A4" s="1" t="s">
        <v>11</v>
      </c>
      <c r="B4" s="1">
        <v>42.7</v>
      </c>
      <c r="C4" s="1">
        <v>46.4</v>
      </c>
      <c r="D4" s="1">
        <v>43.1</v>
      </c>
      <c r="E4" s="1">
        <v>40.6</v>
      </c>
      <c r="F4" s="1">
        <v>44.4</v>
      </c>
      <c r="G4" s="2">
        <f t="shared" si="0"/>
        <v>43.44</v>
      </c>
      <c r="H4" s="3">
        <f t="shared" si="1"/>
        <v>1.9189580506097561</v>
      </c>
    </row>
    <row r="5" spans="1:9" x14ac:dyDescent="0.2">
      <c r="A5" s="1" t="s">
        <v>5</v>
      </c>
      <c r="B5" s="1">
        <v>86.6</v>
      </c>
      <c r="C5" s="1">
        <v>90.7</v>
      </c>
      <c r="D5" s="1">
        <v>92.2</v>
      </c>
      <c r="E5" s="1">
        <v>87.1</v>
      </c>
      <c r="F5" s="1">
        <v>96.7</v>
      </c>
      <c r="G5" s="2">
        <f>E14</f>
        <v>90.66</v>
      </c>
      <c r="H5" s="3">
        <f t="shared" si="1"/>
        <v>3.6881431642494609</v>
      </c>
    </row>
    <row r="6" spans="1:9" x14ac:dyDescent="0.2">
      <c r="A6" s="1" t="s">
        <v>12</v>
      </c>
      <c r="B6" s="1">
        <v>102.2</v>
      </c>
      <c r="C6" s="1">
        <v>94.3</v>
      </c>
      <c r="D6" s="1">
        <v>90.8</v>
      </c>
      <c r="E6" s="1">
        <v>92.4</v>
      </c>
      <c r="F6" s="1">
        <v>97.6</v>
      </c>
      <c r="G6" s="2">
        <f t="shared" si="0"/>
        <v>95.460000000000008</v>
      </c>
      <c r="H6" s="3">
        <f t="shared" si="1"/>
        <v>4.0603448129438471</v>
      </c>
    </row>
    <row r="8" spans="1:9" x14ac:dyDescent="0.2">
      <c r="A8" s="7" t="s">
        <v>14</v>
      </c>
      <c r="B8" s="7"/>
      <c r="C8" s="7"/>
    </row>
    <row r="9" spans="1:9" x14ac:dyDescent="0.2">
      <c r="A9" s="5" t="s">
        <v>15</v>
      </c>
      <c r="B9" s="5">
        <f>_xlfn.T.TEST(A3:F3,A4:F4,1,3)</f>
        <v>4.4703804835430705E-3</v>
      </c>
      <c r="C9" s="1"/>
      <c r="D9" s="5"/>
      <c r="E9" s="1"/>
      <c r="F9" s="1"/>
      <c r="G9" s="1"/>
      <c r="H9" s="1"/>
    </row>
    <row r="10" spans="1:9" x14ac:dyDescent="0.2">
      <c r="A10" s="7" t="s">
        <v>16</v>
      </c>
      <c r="B10" s="7"/>
      <c r="C10" s="7"/>
      <c r="D10" s="1"/>
      <c r="E10" s="1"/>
      <c r="F10" s="1"/>
      <c r="G10" s="1"/>
      <c r="H10" s="1"/>
      <c r="I10" s="1"/>
    </row>
    <row r="11" spans="1:9" x14ac:dyDescent="0.2">
      <c r="A11" s="5" t="s">
        <v>15</v>
      </c>
      <c r="B11" s="6">
        <f>_xlfn.T.TEST(A5:F5,A6:F6,1,3)</f>
        <v>5.9278053198368715E-2</v>
      </c>
      <c r="C11" s="1"/>
      <c r="D11" s="1"/>
      <c r="E11" s="1"/>
      <c r="F11" s="1"/>
      <c r="G11" s="1"/>
      <c r="H11" s="1"/>
      <c r="I11" s="1"/>
    </row>
    <row r="12" spans="1:9" x14ac:dyDescent="0.2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1"/>
      <c r="B13" s="4" t="s">
        <v>18</v>
      </c>
      <c r="C13" s="4" t="s">
        <v>19</v>
      </c>
      <c r="D13" s="4"/>
      <c r="E13" s="4" t="s">
        <v>20</v>
      </c>
      <c r="F13" s="4" t="s">
        <v>12</v>
      </c>
      <c r="G13" s="1"/>
      <c r="H13" s="1"/>
      <c r="I13" s="1"/>
    </row>
    <row r="14" spans="1:9" x14ac:dyDescent="0.2">
      <c r="A14" s="1" t="s">
        <v>17</v>
      </c>
      <c r="B14" s="2">
        <f>AVERAGE(B3:F3)</f>
        <v>37.46</v>
      </c>
      <c r="C14" s="2">
        <f>AVERAGE(B4:F4)</f>
        <v>43.44</v>
      </c>
      <c r="D14" s="2"/>
      <c r="E14" s="2">
        <f>AVERAGE(B5:F5)</f>
        <v>90.66</v>
      </c>
      <c r="F14" s="2">
        <f>AVERAGE(B6:F6)</f>
        <v>95.460000000000008</v>
      </c>
      <c r="G14" s="1"/>
    </row>
    <row r="15" spans="1:9" x14ac:dyDescent="0.2">
      <c r="A15" s="1" t="s">
        <v>0</v>
      </c>
      <c r="B15" s="3">
        <f>_xlfn.STDEV.P(B3:F3)</f>
        <v>2.7586953438174353</v>
      </c>
      <c r="C15" s="3">
        <f>_xlfn.STDEV.P(B4:F4)</f>
        <v>1.9189580506097561</v>
      </c>
      <c r="D15" s="3"/>
      <c r="E15" s="3">
        <f>_xlfn.STDEV.P(B5:F5)</f>
        <v>3.6881431642494609</v>
      </c>
      <c r="F15" s="3">
        <f>_xlfn.STDEV.P(B6:F6)</f>
        <v>4.0603448129438471</v>
      </c>
      <c r="G15" s="1"/>
    </row>
  </sheetData>
  <mergeCells count="2">
    <mergeCell ref="A8:C8"/>
    <mergeCell ref="A10:C10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Sheet2</vt:lpstr>
      <vt:lpstr>Sheet1</vt:lpstr>
      <vt:lpstr>Chart1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Ewan Pedersen</dc:creator>
  <cp:lastModifiedBy>Ewan Pedersen</cp:lastModifiedBy>
  <dcterms:created xsi:type="dcterms:W3CDTF">2025-09-05T13:07:23Z</dcterms:created>
  <dcterms:modified xsi:type="dcterms:W3CDTF">2025-09-05T14:31:57Z</dcterms:modified>
</cp:coreProperties>
</file>